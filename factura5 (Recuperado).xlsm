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vir\OneDrive\Escritorio\"/>
    </mc:Choice>
  </mc:AlternateContent>
  <bookViews>
    <workbookView xWindow="0" yWindow="0" windowWidth="20490" windowHeight="7800" activeTab="2"/>
  </bookViews>
  <sheets>
    <sheet name="REVENTOS" sheetId="1" r:id="rId1"/>
    <sheet name="BASE" sheetId="3" r:id="rId2"/>
    <sheet name="FACTURADO" sheetId="13" r:id="rId3"/>
    <sheet name="VENTAS" sheetId="12" r:id="rId4"/>
    <sheet name="INICIO" sheetId="19" r:id="rId5"/>
    <sheet name="Hoja2" sheetId="21" r:id="rId6"/>
    <sheet name="EMPLEADOS" sheetId="14" r:id="rId7"/>
    <sheet name="IMPRIMIRF" sheetId="17" r:id="rId8"/>
    <sheet name="RCLIENTES" sheetId="20" r:id="rId9"/>
  </sheets>
  <definedNames>
    <definedName name="TABL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" i="12" l="1"/>
  <c r="P20" i="12"/>
  <c r="J1" i="12"/>
</calcChain>
</file>

<file path=xl/sharedStrings.xml><?xml version="1.0" encoding="utf-8"?>
<sst xmlns="http://schemas.openxmlformats.org/spreadsheetml/2006/main" count="237" uniqueCount="122">
  <si>
    <t>CODIGO</t>
  </si>
  <si>
    <t>TOTAL</t>
  </si>
  <si>
    <t>PRODUCTO</t>
  </si>
  <si>
    <t>PRECIO</t>
  </si>
  <si>
    <t xml:space="preserve">MANZANA </t>
  </si>
  <si>
    <t>PERA</t>
  </si>
  <si>
    <t>MANGO</t>
  </si>
  <si>
    <t>CANTIDAD</t>
  </si>
  <si>
    <t>codigo</t>
  </si>
  <si>
    <t>total</t>
  </si>
  <si>
    <t>LECHE</t>
  </si>
  <si>
    <t>AZUCAR</t>
  </si>
  <si>
    <t>PANELA</t>
  </si>
  <si>
    <t>ACEITE</t>
  </si>
  <si>
    <t>SAL</t>
  </si>
  <si>
    <t>SALCHICHON</t>
  </si>
  <si>
    <t>n factura</t>
  </si>
  <si>
    <t>fecha</t>
  </si>
  <si>
    <t>precio</t>
  </si>
  <si>
    <t>cabntidad</t>
  </si>
  <si>
    <t>producto</t>
  </si>
  <si>
    <t>mantequilla</t>
  </si>
  <si>
    <t>CAJERO</t>
  </si>
  <si>
    <t>SIN IVA</t>
  </si>
  <si>
    <t>CEDULA</t>
  </si>
  <si>
    <t>NOMBRES COMPLETOS</t>
  </si>
  <si>
    <t>TELEFONO1</t>
  </si>
  <si>
    <t>TELEFONO2</t>
  </si>
  <si>
    <t>DIRECCION</t>
  </si>
  <si>
    <t>CORREO</t>
  </si>
  <si>
    <t>DAVID AUGUSTO QUINTERO ECHEVERRI</t>
  </si>
  <si>
    <t>CARRERA 47 112 43</t>
  </si>
  <si>
    <t>CIUDAD</t>
  </si>
  <si>
    <t>MEDELLIN</t>
  </si>
  <si>
    <t>ALEJOVERDE81@HOTMAIL.COM</t>
  </si>
  <si>
    <t>NOMBRE CLIENTE</t>
  </si>
  <si>
    <t>NCAJERO</t>
  </si>
  <si>
    <t>nf</t>
  </si>
  <si>
    <t>cantidad</t>
  </si>
  <si>
    <t>nit</t>
  </si>
  <si>
    <t>direccion</t>
  </si>
  <si>
    <t>telefono</t>
  </si>
  <si>
    <t>cajero</t>
  </si>
  <si>
    <t>cliente</t>
  </si>
  <si>
    <t>cedula</t>
  </si>
  <si>
    <t>cesar augusto quintero echeverri</t>
  </si>
  <si>
    <t>calle 107 51 12</t>
  </si>
  <si>
    <t>medellin</t>
  </si>
  <si>
    <t>cesarmellixo@hotmail.com</t>
  </si>
  <si>
    <t>hjghhjvb</t>
  </si>
  <si>
    <t>beti</t>
  </si>
  <si>
    <t>jhghjh</t>
  </si>
  <si>
    <t xml:space="preserve"> </t>
  </si>
  <si>
    <t>hora</t>
  </si>
  <si>
    <t>EXISTENCIAS</t>
  </si>
  <si>
    <t>provedor</t>
  </si>
  <si>
    <t>contacto</t>
  </si>
  <si>
    <t>david augusto quintero</t>
  </si>
  <si>
    <t>cajha56567</t>
  </si>
  <si>
    <t>@hgshgdjsdsjgdjhotmail.com</t>
  </si>
  <si>
    <t>sfsfsdfds</t>
  </si>
  <si>
    <t>sdfsdf</t>
  </si>
  <si>
    <t>dfsdfsdf</t>
  </si>
  <si>
    <t>sdfsdfdsf</t>
  </si>
  <si>
    <t>sdfsdfsdfdsfd</t>
  </si>
  <si>
    <t>FSDGFS</t>
  </si>
  <si>
    <t>GDFGDFG</t>
  </si>
  <si>
    <t>DFGDFG</t>
  </si>
  <si>
    <t>DFGDG</t>
  </si>
  <si>
    <t>DFGD</t>
  </si>
  <si>
    <t>ERER</t>
  </si>
  <si>
    <t>ERTET</t>
  </si>
  <si>
    <t>ERTERT</t>
  </si>
  <si>
    <t>ERTERTERRTE</t>
  </si>
  <si>
    <t>DGDG</t>
  </si>
  <si>
    <t>DFGDSG</t>
  </si>
  <si>
    <t>DSFGSDG</t>
  </si>
  <si>
    <t>DSFGDSFFG</t>
  </si>
  <si>
    <t>GDSGDSG</t>
  </si>
  <si>
    <t>wrwerew</t>
  </si>
  <si>
    <t>werwer</t>
  </si>
  <si>
    <t>erer</t>
  </si>
  <si>
    <t>erwere</t>
  </si>
  <si>
    <t>werew</t>
  </si>
  <si>
    <t>EERE</t>
  </si>
  <si>
    <t>WERWER</t>
  </si>
  <si>
    <t>WERWE</t>
  </si>
  <si>
    <t>WERW</t>
  </si>
  <si>
    <t>ER</t>
  </si>
  <si>
    <t>WER</t>
  </si>
  <si>
    <t>DFS</t>
  </si>
  <si>
    <t>SDF</t>
  </si>
  <si>
    <t>SADF</t>
  </si>
  <si>
    <t>ASDF</t>
  </si>
  <si>
    <t>DSF</t>
  </si>
  <si>
    <t>DSDFS</t>
  </si>
  <si>
    <t>DFG</t>
  </si>
  <si>
    <t>DF</t>
  </si>
  <si>
    <t>SDFG</t>
  </si>
  <si>
    <t>DGF</t>
  </si>
  <si>
    <t>DFGDGDFG</t>
  </si>
  <si>
    <t>DSGDS435</t>
  </si>
  <si>
    <t>@SGSDFGFDG</t>
  </si>
  <si>
    <t>CILANTRO</t>
  </si>
  <si>
    <t>LATIFUNDIO</t>
  </si>
  <si>
    <t>INICIO</t>
  </si>
  <si>
    <t>IDIOMA</t>
  </si>
  <si>
    <t>REGISTRO DE VENTO</t>
  </si>
  <si>
    <t>NIT O CEDULA</t>
  </si>
  <si>
    <t>CONTRASEÑAS</t>
  </si>
  <si>
    <t>AGREGAR PRECIO DE PRODUCTO USER FORM</t>
  </si>
  <si>
    <t>agregar nombre de cajero</t>
  </si>
  <si>
    <t>al precionar pagar debe preguntar por el nombre del cliente</t>
  </si>
  <si>
    <t>registro de ventas en tabla de filtros para analisis de datos</t>
  </si>
  <si>
    <t>DEVOLUCIONES correccion factura</t>
  </si>
  <si>
    <t>descuentos</t>
  </si>
  <si>
    <t>iva</t>
  </si>
  <si>
    <t>en la base de datos organizar nombres productos alfabeticamente</t>
  </si>
  <si>
    <t>DESCUENTO</t>
  </si>
  <si>
    <t>observaciones</t>
  </si>
  <si>
    <t>%</t>
  </si>
  <si>
    <t>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</si>
</sst>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\ * #,##0.00_-;\-&quot;$&quot;\ * #,##0.00_-;_-&quot;$&quot;\ * &quot;-&quot;??_-;_-@_-"/>
    <numFmt numFmtId="164" formatCode="&quot;$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name val="Calibri"/>
      <family val="2"/>
      <scheme val="minor"/>
    </font>
    <font>
      <sz val="11"/>
      <color rgb="FFFFFFFF"/>
      <name val="Courier New"/>
      <family val="3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 tint="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FFFF00"/>
      </top>
      <bottom/>
      <diagonal/>
    </border>
    <border>
      <left style="thin">
        <color indexed="64"/>
      </left>
      <right style="thin">
        <color rgb="FFFFFF00"/>
      </right>
      <top/>
      <bottom style="medium">
        <color rgb="FFFFFF0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0" xfId="0" applyFill="1" applyBorder="1" applyAlignment="1">
      <alignment horizontal="center"/>
    </xf>
    <xf numFmtId="164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 vertical="center"/>
    </xf>
    <xf numFmtId="0" fontId="3" fillId="3" borderId="0" xfId="1" applyNumberFormat="1" applyFont="1" applyFill="1" applyBorder="1" applyAlignment="1">
      <alignment vertical="center"/>
    </xf>
    <xf numFmtId="0" fontId="0" fillId="0" borderId="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0" fillId="0" borderId="4" xfId="0" applyBorder="1" applyAlignment="1">
      <alignment horizontal="center"/>
    </xf>
    <xf numFmtId="0" fontId="10" fillId="0" borderId="5" xfId="2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0" borderId="0" xfId="0" applyFont="1"/>
    <xf numFmtId="0" fontId="7" fillId="0" borderId="0" xfId="0" applyFon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0" fillId="0" borderId="2" xfId="0" applyBorder="1"/>
    <xf numFmtId="0" fontId="0" fillId="0" borderId="0" xfId="0" applyBorder="1" applyAlignment="1">
      <alignment horizontal="right"/>
    </xf>
    <xf numFmtId="0" fontId="0" fillId="0" borderId="3" xfId="0" applyBorder="1"/>
    <xf numFmtId="0" fontId="0" fillId="3" borderId="0" xfId="0" applyFill="1" applyBorder="1" applyAlignment="1">
      <alignment horizontal="right" vertical="center"/>
    </xf>
    <xf numFmtId="0" fontId="14" fillId="3" borderId="0" xfId="1" applyNumberFormat="1" applyFont="1" applyFill="1" applyBorder="1" applyAlignment="1">
      <alignment horizontal="right" vertic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/>
    <xf numFmtId="0" fontId="0" fillId="0" borderId="5" xfId="0" applyBorder="1" applyAlignment="1">
      <alignment horizontal="center"/>
    </xf>
    <xf numFmtId="0" fontId="0" fillId="3" borderId="0" xfId="0" applyFill="1" applyBorder="1"/>
    <xf numFmtId="164" fontId="0" fillId="3" borderId="0" xfId="0" applyNumberFormat="1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13" fillId="0" borderId="0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3" fillId="0" borderId="2" xfId="0" applyFont="1" applyBorder="1" applyAlignment="1">
      <alignment horizontal="center"/>
    </xf>
    <xf numFmtId="0" fontId="0" fillId="0" borderId="0" xfId="0" applyAlignment="1"/>
    <xf numFmtId="0" fontId="0" fillId="0" borderId="0" xfId="0" applyBorder="1" applyAlignment="1">
      <alignment horizontal="left"/>
    </xf>
    <xf numFmtId="0" fontId="0" fillId="0" borderId="0" xfId="0" applyBorder="1" applyAlignment="1"/>
    <xf numFmtId="0" fontId="0" fillId="0" borderId="3" xfId="0" applyBorder="1" applyAlignment="1"/>
    <xf numFmtId="14" fontId="0" fillId="0" borderId="3" xfId="0" applyNumberFormat="1" applyBorder="1"/>
    <xf numFmtId="0" fontId="2" fillId="2" borderId="1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0" fontId="4" fillId="0" borderId="0" xfId="0" applyFont="1"/>
    <xf numFmtId="0" fontId="0" fillId="10" borderId="0" xfId="0" applyFill="1"/>
    <xf numFmtId="0" fontId="0" fillId="11" borderId="0" xfId="0" applyFill="1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ont="1"/>
    <xf numFmtId="0" fontId="17" fillId="11" borderId="0" xfId="0" applyFont="1" applyFill="1" applyAlignment="1">
      <alignment horizontal="right"/>
    </xf>
    <xf numFmtId="0" fontId="2" fillId="2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164" fontId="0" fillId="0" borderId="6" xfId="1" applyNumberFormat="1" applyFont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0" fillId="5" borderId="0" xfId="0" applyFill="1"/>
    <xf numFmtId="2" fontId="6" fillId="7" borderId="0" xfId="1" applyNumberFormat="1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left" vertical="center"/>
    </xf>
    <xf numFmtId="0" fontId="15" fillId="6" borderId="0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Fill="1" applyBorder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</xdr:colOff>
      <xdr:row>0</xdr:row>
      <xdr:rowOff>0</xdr:rowOff>
    </xdr:from>
    <xdr:to>
      <xdr:col>11</xdr:col>
      <xdr:colOff>276225</xdr:colOff>
      <xdr:row>2</xdr:row>
      <xdr:rowOff>161925</xdr:rowOff>
    </xdr:to>
    <xdr:sp macro="[0]!ENTRADASP" textlink="">
      <xdr:nvSpPr>
        <xdr:cNvPr id="2" name="Rectángulo redondeado 1"/>
        <xdr:cNvSpPr/>
      </xdr:nvSpPr>
      <xdr:spPr>
        <a:xfrm>
          <a:off x="11172825" y="0"/>
          <a:ext cx="971550" cy="5429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INGRESAR</a:t>
          </a:r>
          <a:r>
            <a:rPr lang="en-US" sz="1100" baseline="0">
              <a:solidFill>
                <a:schemeClr val="tx1"/>
              </a:solidFill>
            </a:rPr>
            <a:t> PRODUCTOS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15128</xdr:colOff>
      <xdr:row>22</xdr:row>
      <xdr:rowOff>163607</xdr:rowOff>
    </xdr:from>
    <xdr:to>
      <xdr:col>10</xdr:col>
      <xdr:colOff>346823</xdr:colOff>
      <xdr:row>25</xdr:row>
      <xdr:rowOff>68357</xdr:rowOff>
    </xdr:to>
    <xdr:sp macro="[0]!Hoja12.GuardarYFacturar" textlink="">
      <xdr:nvSpPr>
        <xdr:cNvPr id="5" name="Rectángulo redondeado 4"/>
        <xdr:cNvSpPr/>
      </xdr:nvSpPr>
      <xdr:spPr>
        <a:xfrm>
          <a:off x="7242922" y="4701989"/>
          <a:ext cx="1060077" cy="476250"/>
        </a:xfrm>
        <a:prstGeom prst="roundRect">
          <a:avLst>
            <a:gd name="adj" fmla="val 26667"/>
          </a:avLst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</a:rPr>
            <a:t>PAGAR</a:t>
          </a:r>
          <a:r>
            <a:rPr lang="en-US" sz="2000"/>
            <a:t> </a:t>
          </a:r>
        </a:p>
      </xdr:txBody>
    </xdr:sp>
    <xdr:clientData/>
  </xdr:twoCellAnchor>
  <xdr:twoCellAnchor>
    <xdr:from>
      <xdr:col>12</xdr:col>
      <xdr:colOff>167527</xdr:colOff>
      <xdr:row>14</xdr:row>
      <xdr:rowOff>136712</xdr:rowOff>
    </xdr:from>
    <xdr:to>
      <xdr:col>13</xdr:col>
      <xdr:colOff>465604</xdr:colOff>
      <xdr:row>17</xdr:row>
      <xdr:rowOff>122144</xdr:rowOff>
    </xdr:to>
    <xdr:sp macro="[0]!Hoja12.AbrirUserForm" textlink="">
      <xdr:nvSpPr>
        <xdr:cNvPr id="3" name="Rectángulo redondeado 2"/>
        <xdr:cNvSpPr/>
      </xdr:nvSpPr>
      <xdr:spPr>
        <a:xfrm>
          <a:off x="9356351" y="3151094"/>
          <a:ext cx="1060077" cy="55693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agregar</a:t>
          </a:r>
          <a:r>
            <a:rPr lang="en-US" sz="1200" b="1" baseline="0">
              <a:solidFill>
                <a:sysClr val="windowText" lastClr="000000"/>
              </a:solidFill>
            </a:rPr>
            <a:t> productos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7</xdr:col>
      <xdr:colOff>695325</xdr:colOff>
      <xdr:row>31</xdr:row>
      <xdr:rowOff>171450</xdr:rowOff>
    </xdr:to>
    <xdr:sp macro="" textlink="">
      <xdr:nvSpPr>
        <xdr:cNvPr id="48" name="Rectángulo 47"/>
        <xdr:cNvSpPr/>
      </xdr:nvSpPr>
      <xdr:spPr>
        <a:xfrm>
          <a:off x="9525" y="19050"/>
          <a:ext cx="5419725" cy="6057900"/>
        </a:xfrm>
        <a:prstGeom prst="rect">
          <a:avLst/>
        </a:prstGeom>
        <a:noFill/>
        <a:ln w="762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0</xdr:row>
      <xdr:rowOff>66675</xdr:rowOff>
    </xdr:from>
    <xdr:to>
      <xdr:col>5</xdr:col>
      <xdr:colOff>9525</xdr:colOff>
      <xdr:row>0</xdr:row>
      <xdr:rowOff>533400</xdr:rowOff>
    </xdr:to>
    <xdr:sp macro="" textlink="">
      <xdr:nvSpPr>
        <xdr:cNvPr id="56" name="Rectángulo 55"/>
        <xdr:cNvSpPr/>
      </xdr:nvSpPr>
      <xdr:spPr>
        <a:xfrm>
          <a:off x="47625" y="66675"/>
          <a:ext cx="4713194" cy="466725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227480</xdr:colOff>
      <xdr:row>13</xdr:row>
      <xdr:rowOff>167528</xdr:rowOff>
    </xdr:from>
    <xdr:to>
      <xdr:col>9</xdr:col>
      <xdr:colOff>637055</xdr:colOff>
      <xdr:row>18</xdr:row>
      <xdr:rowOff>148478</xdr:rowOff>
    </xdr:to>
    <xdr:sp macro="" textlink="">
      <xdr:nvSpPr>
        <xdr:cNvPr id="128" name="Flecha izquierda 127"/>
        <xdr:cNvSpPr/>
      </xdr:nvSpPr>
      <xdr:spPr>
        <a:xfrm>
          <a:off x="5987304" y="2991410"/>
          <a:ext cx="1272427" cy="933450"/>
        </a:xfrm>
        <a:prstGeom prst="leftArrow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</a:rPr>
            <a:t>      </a:t>
          </a:r>
          <a:r>
            <a:rPr lang="en-US" sz="1200" b="1">
              <a:solidFill>
                <a:sysClr val="windowText" lastClr="000000"/>
              </a:solidFill>
            </a:rPr>
            <a:t>TOTAL A    </a:t>
          </a:r>
        </a:p>
        <a:p>
          <a:pPr algn="l"/>
          <a:r>
            <a:rPr lang="en-US" sz="1200" b="1">
              <a:solidFill>
                <a:sysClr val="windowText" lastClr="000000"/>
              </a:solidFill>
            </a:rPr>
            <a:t>       PAGAR        </a:t>
          </a:r>
        </a:p>
      </xdr:txBody>
    </xdr:sp>
    <xdr:clientData/>
  </xdr:twoCellAnchor>
  <xdr:twoCellAnchor>
    <xdr:from>
      <xdr:col>11</xdr:col>
      <xdr:colOff>476809</xdr:colOff>
      <xdr:row>20</xdr:row>
      <xdr:rowOff>76200</xdr:rowOff>
    </xdr:from>
    <xdr:to>
      <xdr:col>13</xdr:col>
      <xdr:colOff>12886</xdr:colOff>
      <xdr:row>23</xdr:row>
      <xdr:rowOff>61632</xdr:rowOff>
    </xdr:to>
    <xdr:sp macro="[0]!Hoja12.AbrirUserForm" textlink="">
      <xdr:nvSpPr>
        <xdr:cNvPr id="14" name="Rectángulo redondeado 13"/>
        <xdr:cNvSpPr/>
      </xdr:nvSpPr>
      <xdr:spPr>
        <a:xfrm>
          <a:off x="8903633" y="4233582"/>
          <a:ext cx="1060077" cy="55693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GUARDAR</a:t>
          </a:r>
        </a:p>
        <a:p>
          <a:pPr algn="ctr"/>
          <a:r>
            <a:rPr lang="en-US" sz="1200" b="1">
              <a:solidFill>
                <a:sysClr val="windowText" lastClr="000000"/>
              </a:solidFill>
            </a:rPr>
            <a:t>FACTURA</a:t>
          </a:r>
        </a:p>
      </xdr:txBody>
    </xdr:sp>
    <xdr:clientData/>
  </xdr:twoCellAnchor>
  <xdr:twoCellAnchor>
    <xdr:from>
      <xdr:col>8</xdr:col>
      <xdr:colOff>642656</xdr:colOff>
      <xdr:row>19</xdr:row>
      <xdr:rowOff>17930</xdr:rowOff>
    </xdr:from>
    <xdr:to>
      <xdr:col>10</xdr:col>
      <xdr:colOff>111498</xdr:colOff>
      <xdr:row>22</xdr:row>
      <xdr:rowOff>3362</xdr:rowOff>
    </xdr:to>
    <xdr:sp macro="[0]!IrAInicio" textlink="">
      <xdr:nvSpPr>
        <xdr:cNvPr id="15" name="Rectángulo redondeado 14"/>
        <xdr:cNvSpPr/>
      </xdr:nvSpPr>
      <xdr:spPr>
        <a:xfrm>
          <a:off x="7007597" y="3984812"/>
          <a:ext cx="1060077" cy="55693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baseline="0">
              <a:solidFill>
                <a:schemeClr val="bg1"/>
              </a:solidFill>
            </a:rPr>
            <a:t>INICIO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63500</xdr:colOff>
      <xdr:row>4</xdr:row>
      <xdr:rowOff>63500</xdr:rowOff>
    </xdr:from>
    <xdr:to>
      <xdr:col>5</xdr:col>
      <xdr:colOff>190500</xdr:colOff>
      <xdr:row>5</xdr:row>
      <xdr:rowOff>0</xdr:rowOff>
    </xdr:to>
    <xdr:sp macro="" textlink="">
      <xdr:nvSpPr>
        <xdr:cNvPr id="6" name="Circle"/>
        <xdr:cNvSpPr/>
      </xdr:nvSpPr>
      <xdr:spPr>
        <a:xfrm>
          <a:off x="4806950" y="1177925"/>
          <a:ext cx="127000" cy="127000"/>
        </a:xfrm>
        <a:prstGeom prst="ellipse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67235</xdr:colOff>
      <xdr:row>1</xdr:row>
      <xdr:rowOff>56030</xdr:rowOff>
    </xdr:from>
    <xdr:to>
      <xdr:col>8</xdr:col>
      <xdr:colOff>67236</xdr:colOff>
      <xdr:row>1</xdr:row>
      <xdr:rowOff>717176</xdr:rowOff>
    </xdr:to>
    <xdr:pic>
      <xdr:nvPicPr>
        <xdr:cNvPr id="3" name="Imagen 2" descr="SVG &gt; símbolo &lt;strong&gt;carro&lt;/strong&gt; &lt;strong&gt;compras&lt;/strong&gt; &lt;strong&gt;comprar&lt;/strong&gt; - Imagen e &lt;strong&gt;icono&lt;/strong&gt; gratis &lt;strong&gt;de&lt;/strong&gt; SVG ...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235" y="246530"/>
          <a:ext cx="762001" cy="66114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112059</xdr:rowOff>
    </xdr:from>
    <xdr:to>
      <xdr:col>1</xdr:col>
      <xdr:colOff>67235</xdr:colOff>
      <xdr:row>1</xdr:row>
      <xdr:rowOff>627529</xdr:rowOff>
    </xdr:to>
    <xdr:pic>
      <xdr:nvPicPr>
        <xdr:cNvPr id="4" name="Imagen 3" descr="eRegulations Yaoundé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059"/>
          <a:ext cx="829235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16809</xdr:rowOff>
    </xdr:from>
    <xdr:to>
      <xdr:col>1</xdr:col>
      <xdr:colOff>56030</xdr:colOff>
      <xdr:row>5</xdr:row>
      <xdr:rowOff>34738</xdr:rowOff>
    </xdr:to>
    <xdr:pic>
      <xdr:nvPicPr>
        <xdr:cNvPr id="5" name="Imagen 4" descr="File:User &lt;strong&gt;icon&lt;/strong&gt; 2.svg - Wikimedia Commons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1209"/>
          <a:ext cx="818030" cy="589429"/>
        </a:xfrm>
        <a:prstGeom prst="rect">
          <a:avLst/>
        </a:prstGeom>
      </xdr:spPr>
    </xdr:pic>
    <xdr:clientData/>
  </xdr:twoCellAnchor>
  <xdr:twoCellAnchor editAs="oneCell">
    <xdr:from>
      <xdr:col>0</xdr:col>
      <xdr:colOff>27455</xdr:colOff>
      <xdr:row>6</xdr:row>
      <xdr:rowOff>58831</xdr:rowOff>
    </xdr:from>
    <xdr:to>
      <xdr:col>1</xdr:col>
      <xdr:colOff>27455</xdr:colOff>
      <xdr:row>10</xdr:row>
      <xdr:rowOff>36419</xdr:rowOff>
    </xdr:to>
    <xdr:pic>
      <xdr:nvPicPr>
        <xdr:cNvPr id="6" name="Imagen 5" descr="Komputer Pemakai Icon · Gambar gratis di Pixabay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55" y="1735231"/>
          <a:ext cx="762000" cy="739588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11</xdr:row>
      <xdr:rowOff>133349</xdr:rowOff>
    </xdr:from>
    <xdr:to>
      <xdr:col>1</xdr:col>
      <xdr:colOff>190500</xdr:colOff>
      <xdr:row>15</xdr:row>
      <xdr:rowOff>123824</xdr:rowOff>
    </xdr:to>
    <xdr:pic>
      <xdr:nvPicPr>
        <xdr:cNvPr id="7" name="Imagen 6" descr="Gestion &lt;strong&gt;Stock&lt;/strong&gt; Icon Png, Transparent Png - kindpng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762249"/>
          <a:ext cx="847725" cy="752475"/>
        </a:xfrm>
        <a:prstGeom prst="rect">
          <a:avLst/>
        </a:prstGeom>
      </xdr:spPr>
    </xdr:pic>
    <xdr:clientData/>
  </xdr:twoCellAnchor>
  <xdr:twoCellAnchor>
    <xdr:from>
      <xdr:col>1</xdr:col>
      <xdr:colOff>342900</xdr:colOff>
      <xdr:row>2</xdr:row>
      <xdr:rowOff>178174</xdr:rowOff>
    </xdr:from>
    <xdr:to>
      <xdr:col>1</xdr:col>
      <xdr:colOff>1904999</xdr:colOff>
      <xdr:row>4</xdr:row>
      <xdr:rowOff>189380</xdr:rowOff>
    </xdr:to>
    <xdr:sp macro="[0]!RGUSUARIO" textlink="">
      <xdr:nvSpPr>
        <xdr:cNvPr id="8" name="Rectángulo 7"/>
        <xdr:cNvSpPr/>
      </xdr:nvSpPr>
      <xdr:spPr>
        <a:xfrm>
          <a:off x="1104900" y="1092574"/>
          <a:ext cx="1562099" cy="39220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</a:rPr>
            <a:t>RG.</a:t>
          </a:r>
          <a:r>
            <a:rPr lang="en-US" sz="1800" baseline="0">
              <a:solidFill>
                <a:schemeClr val="tx1"/>
              </a:solidFill>
            </a:rPr>
            <a:t>USUARIO</a:t>
          </a:r>
          <a:endParaRPr 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361950</xdr:colOff>
      <xdr:row>1</xdr:row>
      <xdr:rowOff>111499</xdr:rowOff>
    </xdr:from>
    <xdr:to>
      <xdr:col>1</xdr:col>
      <xdr:colOff>1924049</xdr:colOff>
      <xdr:row>1</xdr:row>
      <xdr:rowOff>503705</xdr:rowOff>
    </xdr:to>
    <xdr:sp macro="[0]!IVENTAS" textlink="">
      <xdr:nvSpPr>
        <xdr:cNvPr id="9" name="Rectángulo 8"/>
        <xdr:cNvSpPr/>
      </xdr:nvSpPr>
      <xdr:spPr>
        <a:xfrm>
          <a:off x="1123950" y="301999"/>
          <a:ext cx="1562099" cy="39220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</a:rPr>
            <a:t>VENTAS</a:t>
          </a:r>
        </a:p>
      </xdr:txBody>
    </xdr:sp>
    <xdr:clientData/>
  </xdr:twoCellAnchor>
  <xdr:twoCellAnchor>
    <xdr:from>
      <xdr:col>1</xdr:col>
      <xdr:colOff>314325</xdr:colOff>
      <xdr:row>7</xdr:row>
      <xdr:rowOff>54349</xdr:rowOff>
    </xdr:from>
    <xdr:to>
      <xdr:col>1</xdr:col>
      <xdr:colOff>1876424</xdr:colOff>
      <xdr:row>9</xdr:row>
      <xdr:rowOff>65555</xdr:rowOff>
    </xdr:to>
    <xdr:sp macro="[0]!Hoja6.RGCLIENTES" textlink="">
      <xdr:nvSpPr>
        <xdr:cNvPr id="10" name="Rectángulo 9"/>
        <xdr:cNvSpPr/>
      </xdr:nvSpPr>
      <xdr:spPr>
        <a:xfrm>
          <a:off x="1076325" y="1921249"/>
          <a:ext cx="1562099" cy="39220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</a:rPr>
            <a:t>RG. CLIENTES</a:t>
          </a:r>
        </a:p>
      </xdr:txBody>
    </xdr:sp>
    <xdr:clientData/>
  </xdr:twoCellAnchor>
  <xdr:twoCellAnchor>
    <xdr:from>
      <xdr:col>1</xdr:col>
      <xdr:colOff>361950</xdr:colOff>
      <xdr:row>12</xdr:row>
      <xdr:rowOff>66675</xdr:rowOff>
    </xdr:from>
    <xdr:to>
      <xdr:col>1</xdr:col>
      <xdr:colOff>1924049</xdr:colOff>
      <xdr:row>14</xdr:row>
      <xdr:rowOff>77881</xdr:rowOff>
    </xdr:to>
    <xdr:sp macro="[0]!ENTRADASP" textlink="">
      <xdr:nvSpPr>
        <xdr:cNvPr id="12" name="Rectángulo 11"/>
        <xdr:cNvSpPr/>
      </xdr:nvSpPr>
      <xdr:spPr>
        <a:xfrm>
          <a:off x="1123950" y="2886075"/>
          <a:ext cx="1562099" cy="39220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solidFill>
                <a:sysClr val="windowText" lastClr="000000"/>
              </a:solidFill>
            </a:rPr>
            <a:t>RG.PRODUCTOS</a:t>
          </a:r>
        </a:p>
      </xdr:txBody>
    </xdr:sp>
    <xdr:clientData/>
  </xdr:twoCellAnchor>
  <xdr:twoCellAnchor>
    <xdr:from>
      <xdr:col>2</xdr:col>
      <xdr:colOff>180975</xdr:colOff>
      <xdr:row>1</xdr:row>
      <xdr:rowOff>104775</xdr:rowOff>
    </xdr:from>
    <xdr:to>
      <xdr:col>3</xdr:col>
      <xdr:colOff>371475</xdr:colOff>
      <xdr:row>1</xdr:row>
      <xdr:rowOff>581025</xdr:rowOff>
    </xdr:to>
    <xdr:sp macro="[0]!IDESCUENTOS_" textlink="">
      <xdr:nvSpPr>
        <xdr:cNvPr id="2" name="Rectángulo 1"/>
        <xdr:cNvSpPr/>
      </xdr:nvSpPr>
      <xdr:spPr>
        <a:xfrm>
          <a:off x="3105150" y="295275"/>
          <a:ext cx="952500" cy="47625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MONTAR</a:t>
          </a:r>
          <a:r>
            <a:rPr lang="en-US" sz="1100" baseline="0">
              <a:solidFill>
                <a:sysClr val="windowText" lastClr="000000"/>
              </a:solidFill>
            </a:rPr>
            <a:t> DESCUENTOS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197954</xdr:colOff>
      <xdr:row>2</xdr:row>
      <xdr:rowOff>46797</xdr:rowOff>
    </xdr:from>
    <xdr:to>
      <xdr:col>3</xdr:col>
      <xdr:colOff>388454</xdr:colOff>
      <xdr:row>4</xdr:row>
      <xdr:rowOff>142047</xdr:rowOff>
    </xdr:to>
    <xdr:sp macro="[0]!IDESCUENTOS_" textlink="">
      <xdr:nvSpPr>
        <xdr:cNvPr id="13" name="Rectángulo 12"/>
        <xdr:cNvSpPr/>
      </xdr:nvSpPr>
      <xdr:spPr>
        <a:xfrm>
          <a:off x="3121715" y="957884"/>
          <a:ext cx="952500" cy="47625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PRODUCTOS</a:t>
          </a:r>
          <a:r>
            <a:rPr lang="en-US" sz="1100" baseline="0">
              <a:solidFill>
                <a:sysClr val="windowText" lastClr="000000"/>
              </a:solidFill>
            </a:rPr>
            <a:t> AGOTADOS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24847</xdr:colOff>
      <xdr:row>0</xdr:row>
      <xdr:rowOff>49695</xdr:rowOff>
    </xdr:from>
    <xdr:to>
      <xdr:col>4</xdr:col>
      <xdr:colOff>1159564</xdr:colOff>
      <xdr:row>1</xdr:row>
      <xdr:rowOff>165651</xdr:rowOff>
    </xdr:to>
    <xdr:sp macro="[0]!IDESCUENTOS_" textlink="">
      <xdr:nvSpPr>
        <xdr:cNvPr id="14" name="Rectángulo 13"/>
        <xdr:cNvSpPr/>
      </xdr:nvSpPr>
      <xdr:spPr>
        <a:xfrm>
          <a:off x="4472608" y="49695"/>
          <a:ext cx="1134717" cy="30645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DEVOLUCIONES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114301</xdr:rowOff>
    </xdr:from>
    <xdr:to>
      <xdr:col>6</xdr:col>
      <xdr:colOff>742950</xdr:colOff>
      <xdr:row>3</xdr:row>
      <xdr:rowOff>66675</xdr:rowOff>
    </xdr:to>
    <xdr:sp macro="[0]!Hoja7.BuscarFactura" textlink="">
      <xdr:nvSpPr>
        <xdr:cNvPr id="2" name="Rectángulo redondeado 1"/>
        <xdr:cNvSpPr/>
      </xdr:nvSpPr>
      <xdr:spPr>
        <a:xfrm>
          <a:off x="4572000" y="114301"/>
          <a:ext cx="742950" cy="52387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buscar factura</a:t>
          </a:r>
        </a:p>
      </xdr:txBody>
    </xdr:sp>
    <xdr:clientData/>
  </xdr:twoCellAnchor>
  <xdr:twoCellAnchor>
    <xdr:from>
      <xdr:col>6</xdr:col>
      <xdr:colOff>9525</xdr:colOff>
      <xdr:row>3</xdr:row>
      <xdr:rowOff>161925</xdr:rowOff>
    </xdr:from>
    <xdr:to>
      <xdr:col>6</xdr:col>
      <xdr:colOff>752475</xdr:colOff>
      <xdr:row>6</xdr:row>
      <xdr:rowOff>85725</xdr:rowOff>
    </xdr:to>
    <xdr:sp macro="[0]!Hoja7.LimpiarFactura" textlink="">
      <xdr:nvSpPr>
        <xdr:cNvPr id="4" name="Rectángulo redondeado 3"/>
        <xdr:cNvSpPr/>
      </xdr:nvSpPr>
      <xdr:spPr>
        <a:xfrm>
          <a:off x="4581525" y="733425"/>
          <a:ext cx="742950" cy="4953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limpiar</a:t>
          </a:r>
          <a:r>
            <a:rPr lang="en-US" sz="1100" baseline="0"/>
            <a:t> </a:t>
          </a:r>
          <a:r>
            <a:rPr lang="en-US" sz="1100" baseline="0">
              <a:solidFill>
                <a:sysClr val="windowText" lastClr="000000"/>
              </a:solidFill>
            </a:rPr>
            <a:t>factura</a:t>
          </a:r>
        </a:p>
        <a:p>
          <a:pPr algn="ctr"/>
          <a:endParaRPr lang="en-US" sz="1100"/>
        </a:p>
      </xdr:txBody>
    </xdr:sp>
    <xdr:clientData/>
  </xdr:twoCellAnchor>
  <xdr:twoCellAnchor>
    <xdr:from>
      <xdr:col>7</xdr:col>
      <xdr:colOff>342900</xdr:colOff>
      <xdr:row>2</xdr:row>
      <xdr:rowOff>47625</xdr:rowOff>
    </xdr:from>
    <xdr:to>
      <xdr:col>8</xdr:col>
      <xdr:colOff>285750</xdr:colOff>
      <xdr:row>5</xdr:row>
      <xdr:rowOff>76200</xdr:rowOff>
    </xdr:to>
    <xdr:sp macro="" textlink="">
      <xdr:nvSpPr>
        <xdr:cNvPr id="3" name="Rectángulo redondeado 2"/>
        <xdr:cNvSpPr/>
      </xdr:nvSpPr>
      <xdr:spPr>
        <a:xfrm>
          <a:off x="5591175" y="428625"/>
          <a:ext cx="704850" cy="6000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imprimir</a:t>
          </a:r>
        </a:p>
      </xdr:txBody>
    </xdr:sp>
    <xdr:clientData/>
  </xdr:twoCellAnchor>
  <xdr:twoCellAnchor>
    <xdr:from>
      <xdr:col>5</xdr:col>
      <xdr:colOff>752475</xdr:colOff>
      <xdr:row>9</xdr:row>
      <xdr:rowOff>66675</xdr:rowOff>
    </xdr:from>
    <xdr:to>
      <xdr:col>7</xdr:col>
      <xdr:colOff>19050</xdr:colOff>
      <xdr:row>12</xdr:row>
      <xdr:rowOff>95250</xdr:rowOff>
    </xdr:to>
    <xdr:sp macro="[0]!IrAInicio" textlink="">
      <xdr:nvSpPr>
        <xdr:cNvPr id="6" name="Rectángulo redondeado 5"/>
        <xdr:cNvSpPr/>
      </xdr:nvSpPr>
      <xdr:spPr>
        <a:xfrm>
          <a:off x="4562475" y="1781175"/>
          <a:ext cx="704850" cy="6000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</a:rPr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cesarmellixo@hotmail.com" TargetMode="External"/><Relationship Id="rId1" Type="http://schemas.openxmlformats.org/officeDocument/2006/relationships/hyperlink" Target="mailto:ALEJOVERDE81@HOTMAIL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D21" sqref="D21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6"/>
  <sheetViews>
    <sheetView workbookViewId="0">
      <selection activeCell="H13" sqref="H13"/>
    </sheetView>
  </sheetViews>
  <sheetFormatPr baseColWidth="10" defaultRowHeight="15" x14ac:dyDescent="0.25"/>
  <cols>
    <col min="1" max="1" width="16.5703125" style="1" customWidth="1"/>
    <col min="2" max="2" width="44" style="1" customWidth="1"/>
    <col min="3" max="3" width="16.7109375" style="1" customWidth="1"/>
    <col min="4" max="4" width="12.85546875" style="1" customWidth="1"/>
    <col min="5" max="5" width="17" style="1" customWidth="1"/>
    <col min="6" max="6" width="11.42578125" style="1"/>
    <col min="7" max="7" width="13.7109375" style="11" customWidth="1"/>
    <col min="8" max="8" width="11.42578125" style="1"/>
  </cols>
  <sheetData>
    <row r="1" spans="1:9" x14ac:dyDescent="0.25">
      <c r="A1" s="55" t="s">
        <v>0</v>
      </c>
      <c r="B1" s="55" t="s">
        <v>2</v>
      </c>
      <c r="C1" s="55" t="s">
        <v>3</v>
      </c>
      <c r="D1" s="56" t="s">
        <v>54</v>
      </c>
      <c r="E1" s="56" t="s">
        <v>55</v>
      </c>
      <c r="F1" s="56" t="s">
        <v>56</v>
      </c>
      <c r="G1" s="65" t="s">
        <v>121</v>
      </c>
      <c r="H1" s="56" t="s">
        <v>120</v>
      </c>
      <c r="I1" s="56" t="s">
        <v>119</v>
      </c>
    </row>
    <row r="2" spans="1:9" x14ac:dyDescent="0.25">
      <c r="A2" s="1">
        <v>1111</v>
      </c>
      <c r="B2" s="1" t="s">
        <v>4</v>
      </c>
      <c r="C2" s="1">
        <v>1500</v>
      </c>
      <c r="D2" s="1">
        <v>41</v>
      </c>
      <c r="H2" s="1">
        <v>55</v>
      </c>
    </row>
    <row r="3" spans="1:9" x14ac:dyDescent="0.25">
      <c r="A3" s="1">
        <v>2222</v>
      </c>
      <c r="B3" s="1" t="s">
        <v>5</v>
      </c>
      <c r="C3" s="1">
        <v>2000</v>
      </c>
      <c r="D3" s="1">
        <v>42</v>
      </c>
      <c r="H3" s="1">
        <v>7</v>
      </c>
    </row>
    <row r="4" spans="1:9" x14ac:dyDescent="0.25">
      <c r="A4" s="1">
        <v>3333</v>
      </c>
      <c r="B4" s="1" t="s">
        <v>6</v>
      </c>
      <c r="C4" s="1">
        <v>1200</v>
      </c>
      <c r="D4" s="1">
        <v>44</v>
      </c>
      <c r="H4" s="1">
        <v>3</v>
      </c>
    </row>
    <row r="5" spans="1:9" x14ac:dyDescent="0.25">
      <c r="A5" s="1">
        <v>3333</v>
      </c>
      <c r="B5" s="1" t="s">
        <v>10</v>
      </c>
      <c r="C5" s="1">
        <v>4000</v>
      </c>
      <c r="D5" s="1">
        <v>27</v>
      </c>
      <c r="E5" s="1" t="s">
        <v>52</v>
      </c>
      <c r="H5" s="1">
        <v>3</v>
      </c>
    </row>
    <row r="6" spans="1:9" x14ac:dyDescent="0.25">
      <c r="A6" s="1">
        <v>5555</v>
      </c>
      <c r="B6" s="1" t="s">
        <v>11</v>
      </c>
      <c r="C6" s="1">
        <v>2000</v>
      </c>
      <c r="D6" s="1">
        <v>9</v>
      </c>
      <c r="H6" s="1">
        <v>3</v>
      </c>
    </row>
    <row r="7" spans="1:9" x14ac:dyDescent="0.25">
      <c r="A7" s="1">
        <v>6666</v>
      </c>
      <c r="B7" s="1" t="s">
        <v>12</v>
      </c>
      <c r="C7" s="1">
        <v>1500</v>
      </c>
      <c r="D7" s="1">
        <v>15</v>
      </c>
      <c r="G7" s="11">
        <v>1365</v>
      </c>
      <c r="H7" s="1">
        <v>3</v>
      </c>
    </row>
    <row r="8" spans="1:9" x14ac:dyDescent="0.25">
      <c r="A8" s="1">
        <v>7777</v>
      </c>
      <c r="B8" s="1" t="s">
        <v>13</v>
      </c>
      <c r="C8" s="1">
        <v>20000</v>
      </c>
      <c r="D8" s="1">
        <v>20</v>
      </c>
      <c r="H8" s="1">
        <v>3</v>
      </c>
    </row>
    <row r="9" spans="1:9" x14ac:dyDescent="0.25">
      <c r="A9" s="1">
        <v>8888</v>
      </c>
      <c r="B9" s="1" t="s">
        <v>15</v>
      </c>
      <c r="C9" s="1">
        <v>10000</v>
      </c>
      <c r="D9" s="1">
        <v>12</v>
      </c>
      <c r="H9" s="1">
        <v>3</v>
      </c>
    </row>
    <row r="10" spans="1:9" x14ac:dyDescent="0.25">
      <c r="A10" s="1">
        <v>9999</v>
      </c>
      <c r="B10" s="1" t="s">
        <v>14</v>
      </c>
      <c r="C10" s="1">
        <v>2000</v>
      </c>
      <c r="D10" s="1">
        <v>15</v>
      </c>
      <c r="H10" s="1">
        <v>3</v>
      </c>
    </row>
    <row r="11" spans="1:9" x14ac:dyDescent="0.25">
      <c r="A11" s="1">
        <v>4444</v>
      </c>
      <c r="B11" s="1" t="s">
        <v>21</v>
      </c>
      <c r="C11" s="1">
        <v>20000</v>
      </c>
      <c r="D11" s="1">
        <v>10</v>
      </c>
      <c r="H11" s="1">
        <v>3</v>
      </c>
    </row>
    <row r="12" spans="1:9" x14ac:dyDescent="0.25">
      <c r="A12" s="1">
        <v>1234</v>
      </c>
      <c r="B12" s="1" t="s">
        <v>103</v>
      </c>
      <c r="C12" s="1">
        <v>488</v>
      </c>
      <c r="D12" s="1">
        <v>5</v>
      </c>
      <c r="E12" s="1" t="s">
        <v>104</v>
      </c>
      <c r="F12" s="1">
        <v>123456</v>
      </c>
      <c r="H12" s="1">
        <v>3</v>
      </c>
    </row>
    <row r="16" spans="1:9" x14ac:dyDescent="0.25">
      <c r="E16" s="1" t="s">
        <v>52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54"/>
  <sheetViews>
    <sheetView tabSelected="1" workbookViewId="0">
      <selection activeCell="E54" sqref="E54"/>
    </sheetView>
  </sheetViews>
  <sheetFormatPr baseColWidth="10" defaultRowHeight="15" x14ac:dyDescent="0.25"/>
  <cols>
    <col min="6" max="6" width="11.42578125" style="58"/>
    <col min="8" max="8" width="11.85546875" customWidth="1"/>
    <col min="9" max="9" width="36.5703125" customWidth="1"/>
    <col min="10" max="10" width="20.140625" customWidth="1"/>
    <col min="13" max="13" width="11.42578125" style="1"/>
    <col min="14" max="14" width="13.7109375" style="1" customWidth="1"/>
  </cols>
  <sheetData>
    <row r="1" spans="1:14" s="1" customFormat="1" x14ac:dyDescent="0.25">
      <c r="A1" s="12" t="s">
        <v>8</v>
      </c>
      <c r="B1" s="12" t="s">
        <v>20</v>
      </c>
      <c r="C1" s="28" t="s">
        <v>19</v>
      </c>
      <c r="D1" s="28" t="s">
        <v>18</v>
      </c>
      <c r="E1" s="28" t="s">
        <v>9</v>
      </c>
      <c r="F1" s="27" t="s">
        <v>16</v>
      </c>
      <c r="G1" s="28" t="s">
        <v>17</v>
      </c>
      <c r="H1" s="28" t="s">
        <v>53</v>
      </c>
      <c r="I1" s="28" t="s">
        <v>36</v>
      </c>
      <c r="J1" s="23" t="s">
        <v>35</v>
      </c>
      <c r="K1" s="31"/>
      <c r="M1" s="6"/>
      <c r="N1" s="6"/>
    </row>
    <row r="2" spans="1:14" ht="21" customHeight="1" x14ac:dyDescent="0.25">
      <c r="A2" s="15">
        <v>3333</v>
      </c>
      <c r="B2" s="16" t="s">
        <v>6</v>
      </c>
      <c r="C2" s="16">
        <v>1</v>
      </c>
      <c r="D2" s="16">
        <v>1200</v>
      </c>
      <c r="E2" s="17">
        <v>1200</v>
      </c>
      <c r="F2" s="57">
        <v>2100</v>
      </c>
      <c r="G2" s="8">
        <v>45417</v>
      </c>
      <c r="H2" s="16">
        <v>1229</v>
      </c>
      <c r="I2" s="32" t="s">
        <v>30</v>
      </c>
      <c r="J2" t="s">
        <v>50</v>
      </c>
      <c r="N2" s="9"/>
    </row>
    <row r="3" spans="1:14" x14ac:dyDescent="0.25">
      <c r="A3" s="15">
        <v>2222</v>
      </c>
      <c r="B3" s="16" t="s">
        <v>5</v>
      </c>
      <c r="C3" s="16">
        <v>1</v>
      </c>
      <c r="D3" s="16">
        <v>2000</v>
      </c>
      <c r="E3" s="17">
        <v>2000</v>
      </c>
      <c r="F3" s="58">
        <v>2100</v>
      </c>
      <c r="G3" s="8">
        <v>45417</v>
      </c>
      <c r="N3" s="9"/>
    </row>
    <row r="4" spans="1:14" x14ac:dyDescent="0.25">
      <c r="A4" s="15">
        <v>3333</v>
      </c>
      <c r="B4" s="16" t="s">
        <v>6</v>
      </c>
      <c r="C4" s="16">
        <v>1</v>
      </c>
      <c r="D4" s="16">
        <v>1200</v>
      </c>
      <c r="E4" s="17">
        <v>1200</v>
      </c>
      <c r="F4" s="58">
        <v>2100</v>
      </c>
      <c r="G4" s="8">
        <v>45417</v>
      </c>
    </row>
    <row r="5" spans="1:14" x14ac:dyDescent="0.25">
      <c r="A5" s="15">
        <v>2222</v>
      </c>
      <c r="B5" s="16" t="s">
        <v>5</v>
      </c>
      <c r="C5" s="16">
        <v>1</v>
      </c>
      <c r="D5" s="16">
        <v>2000</v>
      </c>
      <c r="E5" s="17">
        <v>2000</v>
      </c>
      <c r="F5" s="58">
        <v>9628</v>
      </c>
      <c r="G5" s="8">
        <v>45417</v>
      </c>
    </row>
    <row r="6" spans="1:14" x14ac:dyDescent="0.25">
      <c r="A6" s="15">
        <v>1111</v>
      </c>
      <c r="B6" s="16" t="s">
        <v>4</v>
      </c>
      <c r="C6" s="16">
        <v>1</v>
      </c>
      <c r="D6" s="16">
        <v>1500</v>
      </c>
      <c r="E6" s="17">
        <v>1500</v>
      </c>
      <c r="F6" s="58">
        <v>9628</v>
      </c>
      <c r="G6" s="8">
        <v>45417</v>
      </c>
    </row>
    <row r="7" spans="1:14" x14ac:dyDescent="0.25">
      <c r="A7" s="15">
        <v>2222</v>
      </c>
      <c r="B7" s="16" t="s">
        <v>5</v>
      </c>
      <c r="C7" s="16">
        <v>1</v>
      </c>
      <c r="D7" s="16">
        <v>2000</v>
      </c>
      <c r="E7" s="17">
        <v>2000</v>
      </c>
      <c r="F7" s="58">
        <v>6793</v>
      </c>
      <c r="G7" s="8">
        <v>45417</v>
      </c>
    </row>
    <row r="8" spans="1:14" x14ac:dyDescent="0.25">
      <c r="A8" s="15">
        <v>2222</v>
      </c>
      <c r="B8" s="16" t="s">
        <v>5</v>
      </c>
      <c r="C8" s="16">
        <v>1</v>
      </c>
      <c r="D8" s="16">
        <v>2000</v>
      </c>
      <c r="E8" s="17">
        <v>2000</v>
      </c>
      <c r="F8" s="58">
        <v>6793</v>
      </c>
      <c r="G8" s="8">
        <v>45417</v>
      </c>
    </row>
    <row r="9" spans="1:14" x14ac:dyDescent="0.25">
      <c r="A9" s="15">
        <v>3333</v>
      </c>
      <c r="B9" s="16" t="s">
        <v>6</v>
      </c>
      <c r="C9" s="16">
        <v>1</v>
      </c>
      <c r="D9" s="16">
        <v>1200</v>
      </c>
      <c r="E9" s="17">
        <v>1200</v>
      </c>
      <c r="F9" s="58">
        <v>3545</v>
      </c>
      <c r="G9" s="8">
        <v>45417</v>
      </c>
      <c r="I9" s="32" t="s">
        <v>30</v>
      </c>
      <c r="J9" t="s">
        <v>49</v>
      </c>
    </row>
    <row r="10" spans="1:14" x14ac:dyDescent="0.25">
      <c r="A10" s="15">
        <v>2222</v>
      </c>
      <c r="B10" s="16" t="s">
        <v>5</v>
      </c>
      <c r="C10" s="16">
        <v>1</v>
      </c>
      <c r="D10" s="16">
        <v>2000</v>
      </c>
      <c r="E10" s="17">
        <v>2000</v>
      </c>
      <c r="F10" s="58">
        <v>3545</v>
      </c>
      <c r="G10" s="8">
        <v>45417</v>
      </c>
    </row>
    <row r="11" spans="1:14" x14ac:dyDescent="0.25">
      <c r="A11" s="15">
        <v>3333</v>
      </c>
      <c r="B11" s="16" t="s">
        <v>6</v>
      </c>
      <c r="C11" s="16">
        <v>1</v>
      </c>
      <c r="D11" s="16">
        <v>1200</v>
      </c>
      <c r="E11" s="17">
        <v>1200</v>
      </c>
      <c r="F11" s="58">
        <v>2813</v>
      </c>
      <c r="G11" s="8">
        <v>45417</v>
      </c>
      <c r="I11" t="s">
        <v>30</v>
      </c>
    </row>
    <row r="12" spans="1:14" x14ac:dyDescent="0.25">
      <c r="A12" s="15">
        <v>5555</v>
      </c>
      <c r="B12" s="16" t="s">
        <v>11</v>
      </c>
      <c r="C12" s="16">
        <v>1</v>
      </c>
      <c r="D12" s="16">
        <v>2000</v>
      </c>
      <c r="E12" s="17">
        <v>2000</v>
      </c>
      <c r="F12" s="58">
        <v>2813</v>
      </c>
      <c r="G12" s="8">
        <v>45417</v>
      </c>
    </row>
    <row r="13" spans="1:14" x14ac:dyDescent="0.25">
      <c r="A13" s="15">
        <v>2222</v>
      </c>
      <c r="B13" s="16" t="s">
        <v>5</v>
      </c>
      <c r="C13" s="16">
        <v>1</v>
      </c>
      <c r="D13" s="16">
        <v>2000</v>
      </c>
      <c r="E13" s="17">
        <v>2000</v>
      </c>
      <c r="F13" s="58">
        <v>7705</v>
      </c>
      <c r="G13" s="8">
        <v>45417</v>
      </c>
      <c r="I13" t="s">
        <v>30</v>
      </c>
      <c r="J13" t="s">
        <v>51</v>
      </c>
    </row>
    <row r="14" spans="1:14" x14ac:dyDescent="0.25">
      <c r="A14" s="15">
        <v>5555</v>
      </c>
      <c r="B14" s="16" t="s">
        <v>11</v>
      </c>
      <c r="C14" s="16">
        <v>1</v>
      </c>
      <c r="D14" s="16">
        <v>2000</v>
      </c>
      <c r="E14" s="17">
        <v>2000</v>
      </c>
      <c r="F14" s="58">
        <v>7705</v>
      </c>
      <c r="G14" s="8">
        <v>45417</v>
      </c>
    </row>
    <row r="15" spans="1:14" x14ac:dyDescent="0.25">
      <c r="A15" s="15">
        <v>3333</v>
      </c>
      <c r="B15" s="16" t="s">
        <v>6</v>
      </c>
      <c r="C15" s="16">
        <v>1</v>
      </c>
      <c r="D15" s="16">
        <v>1200</v>
      </c>
      <c r="E15" s="17">
        <v>1200</v>
      </c>
      <c r="F15" s="58">
        <v>7705</v>
      </c>
      <c r="G15" s="8">
        <v>45417</v>
      </c>
    </row>
    <row r="16" spans="1:14" x14ac:dyDescent="0.25">
      <c r="A16" s="15">
        <v>2222</v>
      </c>
      <c r="B16" s="16" t="s">
        <v>5</v>
      </c>
      <c r="C16" s="16">
        <v>4</v>
      </c>
      <c r="D16" s="16">
        <v>2000</v>
      </c>
      <c r="E16" s="17">
        <v>8000</v>
      </c>
      <c r="F16" s="58">
        <v>6881</v>
      </c>
      <c r="G16" s="8">
        <v>45417</v>
      </c>
      <c r="I16" t="s">
        <v>30</v>
      </c>
    </row>
    <row r="17" spans="1:9" x14ac:dyDescent="0.25">
      <c r="A17" s="15">
        <v>1111</v>
      </c>
      <c r="B17" s="16" t="s">
        <v>4</v>
      </c>
      <c r="C17" s="16">
        <v>1</v>
      </c>
      <c r="D17" s="16">
        <v>1500</v>
      </c>
      <c r="E17" s="17">
        <v>1500</v>
      </c>
      <c r="F17" s="58">
        <v>6881</v>
      </c>
      <c r="G17" s="8">
        <v>45417</v>
      </c>
    </row>
    <row r="18" spans="1:9" x14ac:dyDescent="0.25">
      <c r="A18" s="15">
        <v>3333</v>
      </c>
      <c r="B18" s="16" t="s">
        <v>6</v>
      </c>
      <c r="C18" s="16">
        <v>1</v>
      </c>
      <c r="D18" s="16">
        <v>1200</v>
      </c>
      <c r="E18" s="17">
        <v>1200</v>
      </c>
      <c r="F18" s="58">
        <v>1345</v>
      </c>
      <c r="G18" s="8">
        <v>45417</v>
      </c>
      <c r="I18" t="s">
        <v>30</v>
      </c>
    </row>
    <row r="19" spans="1:9" x14ac:dyDescent="0.25">
      <c r="A19" s="15">
        <v>2222</v>
      </c>
      <c r="B19" s="16" t="s">
        <v>5</v>
      </c>
      <c r="C19" s="16">
        <v>1</v>
      </c>
      <c r="D19" s="16">
        <v>2000</v>
      </c>
      <c r="E19" s="17">
        <v>2000</v>
      </c>
      <c r="F19" s="58">
        <v>1345</v>
      </c>
      <c r="G19" s="8">
        <v>45417</v>
      </c>
    </row>
    <row r="20" spans="1:9" x14ac:dyDescent="0.25">
      <c r="A20" s="15">
        <v>2222</v>
      </c>
      <c r="B20" s="16" t="s">
        <v>5</v>
      </c>
      <c r="C20" s="16">
        <v>1</v>
      </c>
      <c r="D20" s="16">
        <v>2000</v>
      </c>
      <c r="E20" s="17">
        <v>2000</v>
      </c>
      <c r="F20" s="58">
        <v>4144</v>
      </c>
      <c r="G20" s="8">
        <v>45419</v>
      </c>
      <c r="I20" t="s">
        <v>30</v>
      </c>
    </row>
    <row r="21" spans="1:9" x14ac:dyDescent="0.25">
      <c r="A21" s="15">
        <v>3333</v>
      </c>
      <c r="B21" s="16" t="s">
        <v>6</v>
      </c>
      <c r="C21" s="16">
        <v>1</v>
      </c>
      <c r="D21" s="16">
        <v>1200</v>
      </c>
      <c r="E21" s="17">
        <v>1200</v>
      </c>
      <c r="F21" s="58">
        <v>4144</v>
      </c>
      <c r="G21" s="8">
        <v>45419</v>
      </c>
    </row>
    <row r="22" spans="1:9" x14ac:dyDescent="0.25">
      <c r="A22" s="15">
        <v>2222</v>
      </c>
      <c r="B22" s="16" t="s">
        <v>5</v>
      </c>
      <c r="C22" s="16">
        <v>6</v>
      </c>
      <c r="D22" s="16">
        <v>2000</v>
      </c>
      <c r="E22" s="17">
        <v>12000</v>
      </c>
      <c r="F22" s="58">
        <v>1792</v>
      </c>
      <c r="G22" s="8">
        <v>45425</v>
      </c>
      <c r="I22" t="s">
        <v>30</v>
      </c>
    </row>
    <row r="23" spans="1:9" x14ac:dyDescent="0.25">
      <c r="A23" s="15">
        <v>5555</v>
      </c>
      <c r="B23" s="16" t="s">
        <v>11</v>
      </c>
      <c r="C23" s="16">
        <v>1</v>
      </c>
      <c r="D23" s="16">
        <v>2000</v>
      </c>
      <c r="E23" s="17">
        <v>2000</v>
      </c>
      <c r="F23" s="58">
        <v>1792</v>
      </c>
      <c r="G23" s="8">
        <v>45425</v>
      </c>
    </row>
    <row r="24" spans="1:9" x14ac:dyDescent="0.25">
      <c r="A24" s="15">
        <v>1111</v>
      </c>
      <c r="B24" s="16" t="s">
        <v>4</v>
      </c>
      <c r="C24" s="16">
        <v>1</v>
      </c>
      <c r="D24" s="16">
        <v>1500</v>
      </c>
      <c r="E24" s="17">
        <v>1500</v>
      </c>
      <c r="F24" s="58">
        <v>1205</v>
      </c>
      <c r="G24" s="8">
        <v>45425</v>
      </c>
      <c r="I24" t="s">
        <v>30</v>
      </c>
    </row>
    <row r="25" spans="1:9" x14ac:dyDescent="0.25">
      <c r="A25" s="15">
        <v>2222</v>
      </c>
      <c r="B25" s="16" t="s">
        <v>5</v>
      </c>
      <c r="C25" s="16">
        <v>1</v>
      </c>
      <c r="D25" s="16">
        <v>2000</v>
      </c>
      <c r="E25" s="17">
        <v>2000</v>
      </c>
      <c r="F25" s="58">
        <v>5738</v>
      </c>
      <c r="G25" s="8">
        <v>45474</v>
      </c>
      <c r="I25" t="s">
        <v>30</v>
      </c>
    </row>
    <row r="26" spans="1:9" x14ac:dyDescent="0.25">
      <c r="A26" s="15">
        <v>2222</v>
      </c>
      <c r="B26" s="16" t="s">
        <v>5</v>
      </c>
      <c r="C26" s="16">
        <v>1</v>
      </c>
      <c r="D26" s="16">
        <v>2000</v>
      </c>
      <c r="E26" s="17">
        <v>2000</v>
      </c>
      <c r="F26" s="58">
        <v>5738</v>
      </c>
      <c r="G26" s="8">
        <v>45474</v>
      </c>
    </row>
    <row r="27" spans="1:9" x14ac:dyDescent="0.25">
      <c r="A27" s="15">
        <v>3333</v>
      </c>
      <c r="B27" s="16" t="s">
        <v>6</v>
      </c>
      <c r="C27" s="16">
        <v>1</v>
      </c>
      <c r="D27" s="16">
        <v>1200</v>
      </c>
      <c r="E27" s="17">
        <v>1200</v>
      </c>
      <c r="F27" s="58">
        <v>5738</v>
      </c>
      <c r="G27" s="8">
        <v>45474</v>
      </c>
    </row>
    <row r="28" spans="1:9" x14ac:dyDescent="0.25">
      <c r="A28" s="15">
        <v>1111</v>
      </c>
      <c r="B28" s="16" t="s">
        <v>4</v>
      </c>
      <c r="C28" s="16">
        <v>1</v>
      </c>
      <c r="D28" s="16">
        <v>1500</v>
      </c>
      <c r="E28" s="17">
        <v>1500</v>
      </c>
      <c r="F28" s="58">
        <v>4772</v>
      </c>
      <c r="G28" s="8">
        <v>45481</v>
      </c>
      <c r="I28" t="s">
        <v>30</v>
      </c>
    </row>
    <row r="29" spans="1:9" x14ac:dyDescent="0.25">
      <c r="A29" s="15">
        <v>3333</v>
      </c>
      <c r="B29" s="16" t="s">
        <v>6</v>
      </c>
      <c r="C29" s="16">
        <v>1</v>
      </c>
      <c r="D29" s="16">
        <v>1200</v>
      </c>
      <c r="E29" s="17">
        <v>1200</v>
      </c>
      <c r="F29" s="58">
        <v>4772</v>
      </c>
      <c r="G29" s="8">
        <v>45481</v>
      </c>
    </row>
    <row r="30" spans="1:9" x14ac:dyDescent="0.25">
      <c r="A30" s="15">
        <v>3333</v>
      </c>
      <c r="B30" s="16" t="s">
        <v>6</v>
      </c>
      <c r="C30" s="16">
        <v>6</v>
      </c>
      <c r="D30" s="16">
        <v>1200</v>
      </c>
      <c r="E30" s="17">
        <v>7200</v>
      </c>
      <c r="F30" s="58">
        <v>4772</v>
      </c>
      <c r="G30" s="8">
        <v>45481</v>
      </c>
    </row>
    <row r="31" spans="1:9" x14ac:dyDescent="0.25">
      <c r="A31" s="15">
        <v>3333</v>
      </c>
      <c r="B31" s="16" t="s">
        <v>6</v>
      </c>
      <c r="C31" s="16">
        <v>1</v>
      </c>
      <c r="D31" s="16">
        <v>1200</v>
      </c>
      <c r="E31" s="17">
        <v>1200</v>
      </c>
      <c r="F31" s="58">
        <v>4917</v>
      </c>
      <c r="G31" s="8">
        <v>45481</v>
      </c>
      <c r="I31" t="s">
        <v>30</v>
      </c>
    </row>
    <row r="32" spans="1:9" x14ac:dyDescent="0.25">
      <c r="A32" s="15">
        <v>5555</v>
      </c>
      <c r="B32" s="16" t="s">
        <v>11</v>
      </c>
      <c r="C32" s="16">
        <v>1</v>
      </c>
      <c r="D32" s="16">
        <v>2000</v>
      </c>
      <c r="E32" s="17">
        <v>2000</v>
      </c>
      <c r="F32" s="58">
        <v>4917</v>
      </c>
      <c r="G32" s="8">
        <v>45481</v>
      </c>
    </row>
    <row r="33" spans="1:9" x14ac:dyDescent="0.25">
      <c r="A33" s="15">
        <v>7777</v>
      </c>
      <c r="B33" s="16" t="s">
        <v>13</v>
      </c>
      <c r="C33" s="16">
        <v>1</v>
      </c>
      <c r="D33" s="16">
        <v>20000</v>
      </c>
      <c r="E33" s="17">
        <v>20000</v>
      </c>
      <c r="F33" s="58">
        <v>4917</v>
      </c>
      <c r="G33" s="8">
        <v>45481</v>
      </c>
    </row>
    <row r="34" spans="1:9" x14ac:dyDescent="0.25">
      <c r="A34" s="15">
        <v>5555</v>
      </c>
      <c r="B34" s="16" t="s">
        <v>11</v>
      </c>
      <c r="C34" s="16">
        <v>1</v>
      </c>
      <c r="D34" s="16">
        <v>2000</v>
      </c>
      <c r="E34" s="17">
        <v>2000</v>
      </c>
      <c r="F34" s="58">
        <v>4917</v>
      </c>
      <c r="G34" s="8">
        <v>45481</v>
      </c>
    </row>
    <row r="35" spans="1:9" x14ac:dyDescent="0.25">
      <c r="A35" s="18">
        <v>2222</v>
      </c>
      <c r="B35" s="19" t="s">
        <v>5</v>
      </c>
      <c r="C35" s="19">
        <v>5</v>
      </c>
      <c r="D35" s="19">
        <v>2000</v>
      </c>
      <c r="E35" s="20">
        <v>10000</v>
      </c>
      <c r="F35" s="58">
        <v>8047</v>
      </c>
      <c r="G35" s="8">
        <v>45495</v>
      </c>
      <c r="I35" t="s">
        <v>30</v>
      </c>
    </row>
    <row r="36" spans="1:9" x14ac:dyDescent="0.25">
      <c r="A36" s="15">
        <v>3333</v>
      </c>
      <c r="B36" s="16" t="s">
        <v>6</v>
      </c>
      <c r="C36" s="16">
        <v>1</v>
      </c>
      <c r="D36" s="16">
        <v>1200</v>
      </c>
      <c r="E36" s="17">
        <v>1200</v>
      </c>
      <c r="F36" s="58">
        <v>8047</v>
      </c>
      <c r="G36" s="8">
        <v>45495</v>
      </c>
    </row>
    <row r="37" spans="1:9" x14ac:dyDescent="0.25">
      <c r="A37" s="15">
        <v>3333</v>
      </c>
      <c r="B37" s="16" t="s">
        <v>6</v>
      </c>
      <c r="C37" s="16">
        <v>1</v>
      </c>
      <c r="D37" s="16">
        <v>1200</v>
      </c>
      <c r="E37" s="17">
        <v>1200</v>
      </c>
      <c r="F37" s="58">
        <v>8047</v>
      </c>
      <c r="G37" s="8">
        <v>45495</v>
      </c>
    </row>
    <row r="38" spans="1:9" x14ac:dyDescent="0.25">
      <c r="A38" s="15">
        <v>3333</v>
      </c>
      <c r="B38" s="16" t="s">
        <v>6</v>
      </c>
      <c r="C38" s="16">
        <v>1</v>
      </c>
      <c r="D38" s="16">
        <v>1200</v>
      </c>
      <c r="E38" s="17">
        <v>1200</v>
      </c>
      <c r="F38" s="58">
        <v>9819</v>
      </c>
      <c r="G38" s="8">
        <v>45502</v>
      </c>
      <c r="I38" t="s">
        <v>30</v>
      </c>
    </row>
    <row r="39" spans="1:9" x14ac:dyDescent="0.25">
      <c r="A39" s="15">
        <v>2222</v>
      </c>
      <c r="B39" s="16" t="s">
        <v>5</v>
      </c>
      <c r="C39" s="16">
        <v>1</v>
      </c>
      <c r="D39" s="16">
        <v>2000</v>
      </c>
      <c r="E39" s="17">
        <v>2000</v>
      </c>
      <c r="F39" s="58">
        <v>9819</v>
      </c>
      <c r="G39" s="8">
        <v>45502</v>
      </c>
    </row>
    <row r="40" spans="1:9" x14ac:dyDescent="0.25">
      <c r="A40" s="15">
        <v>2222</v>
      </c>
      <c r="B40" s="16" t="s">
        <v>5</v>
      </c>
      <c r="C40" s="16">
        <v>1</v>
      </c>
      <c r="D40" s="16">
        <v>2000</v>
      </c>
      <c r="E40" s="17">
        <v>2000</v>
      </c>
      <c r="F40" s="58">
        <v>9819</v>
      </c>
      <c r="G40" s="8">
        <v>45502</v>
      </c>
    </row>
    <row r="41" spans="1:9" x14ac:dyDescent="0.25">
      <c r="A41" s="15">
        <v>1111</v>
      </c>
      <c r="B41" s="16" t="s">
        <v>4</v>
      </c>
      <c r="C41" s="16">
        <v>1</v>
      </c>
      <c r="D41" s="16">
        <v>1500</v>
      </c>
      <c r="E41" s="17">
        <v>1500</v>
      </c>
      <c r="F41" s="58">
        <v>9819</v>
      </c>
      <c r="G41" s="8">
        <v>45502</v>
      </c>
    </row>
    <row r="42" spans="1:9" x14ac:dyDescent="0.25">
      <c r="A42" s="15">
        <v>6666</v>
      </c>
      <c r="B42" s="16" t="s">
        <v>12</v>
      </c>
      <c r="C42" s="16">
        <v>1</v>
      </c>
      <c r="D42" s="16">
        <v>1500</v>
      </c>
      <c r="E42" s="17">
        <v>1500</v>
      </c>
      <c r="F42" s="58">
        <v>7426</v>
      </c>
      <c r="G42" s="8">
        <v>45502</v>
      </c>
      <c r="I42" t="s">
        <v>30</v>
      </c>
    </row>
    <row r="43" spans="1:9" x14ac:dyDescent="0.25">
      <c r="A43" s="15">
        <v>1111</v>
      </c>
      <c r="B43" s="16" t="s">
        <v>4</v>
      </c>
      <c r="C43" s="16">
        <v>1</v>
      </c>
      <c r="D43" s="16">
        <v>1500</v>
      </c>
      <c r="E43" s="17">
        <v>1500</v>
      </c>
      <c r="F43" s="58">
        <v>7426</v>
      </c>
      <c r="G43" s="8">
        <v>45502</v>
      </c>
    </row>
    <row r="44" spans="1:9" x14ac:dyDescent="0.25">
      <c r="A44" s="15">
        <v>1111</v>
      </c>
      <c r="B44" s="16" t="s">
        <v>4</v>
      </c>
      <c r="C44" s="16">
        <v>1</v>
      </c>
      <c r="D44" s="16">
        <v>1500</v>
      </c>
      <c r="E44" s="17">
        <v>1500</v>
      </c>
      <c r="F44" s="58">
        <v>7426</v>
      </c>
      <c r="G44" s="8">
        <v>45502</v>
      </c>
    </row>
    <row r="45" spans="1:9" x14ac:dyDescent="0.25">
      <c r="A45" s="15">
        <v>3333</v>
      </c>
      <c r="B45" s="16" t="s">
        <v>6</v>
      </c>
      <c r="C45" s="16">
        <v>1</v>
      </c>
      <c r="D45" s="16">
        <v>1200</v>
      </c>
      <c r="E45" s="17">
        <v>1200</v>
      </c>
      <c r="F45" s="58">
        <v>7426</v>
      </c>
      <c r="G45" s="8">
        <v>45502</v>
      </c>
    </row>
    <row r="46" spans="1:9" x14ac:dyDescent="0.25">
      <c r="A46" s="15">
        <v>2222</v>
      </c>
      <c r="B46" s="16" t="s">
        <v>5</v>
      </c>
      <c r="C46" s="16">
        <v>1</v>
      </c>
      <c r="D46" s="16">
        <v>2000</v>
      </c>
      <c r="E46" s="17">
        <v>2000</v>
      </c>
      <c r="F46" s="58">
        <v>7426</v>
      </c>
      <c r="G46" s="8">
        <v>45502</v>
      </c>
    </row>
    <row r="47" spans="1:9" x14ac:dyDescent="0.25">
      <c r="A47" s="15">
        <v>3333</v>
      </c>
      <c r="B47" s="16" t="s">
        <v>6</v>
      </c>
      <c r="C47" s="16">
        <v>1</v>
      </c>
      <c r="D47" s="16">
        <v>1200</v>
      </c>
      <c r="E47" s="17">
        <v>1200</v>
      </c>
      <c r="F47" s="58">
        <v>7426</v>
      </c>
      <c r="G47" s="8">
        <v>45502</v>
      </c>
    </row>
    <row r="48" spans="1:9" x14ac:dyDescent="0.25">
      <c r="A48" s="15">
        <v>2222</v>
      </c>
      <c r="B48" s="16" t="s">
        <v>5</v>
      </c>
      <c r="C48" s="16">
        <v>1</v>
      </c>
      <c r="D48" s="16">
        <v>2000</v>
      </c>
      <c r="E48" s="17">
        <v>2000</v>
      </c>
      <c r="F48" s="58">
        <v>7426</v>
      </c>
      <c r="G48" s="8">
        <v>45502</v>
      </c>
    </row>
    <row r="49" spans="1:9" x14ac:dyDescent="0.25">
      <c r="A49" s="15">
        <v>1111</v>
      </c>
      <c r="B49" s="16" t="s">
        <v>4</v>
      </c>
      <c r="C49" s="16">
        <v>1</v>
      </c>
      <c r="D49" s="16">
        <v>1500</v>
      </c>
      <c r="E49" s="17">
        <v>1500</v>
      </c>
      <c r="F49" s="58">
        <v>7426</v>
      </c>
      <c r="G49" s="8">
        <v>45502</v>
      </c>
    </row>
    <row r="50" spans="1:9" x14ac:dyDescent="0.25">
      <c r="A50" s="15">
        <v>3333</v>
      </c>
      <c r="B50" s="16" t="s">
        <v>6</v>
      </c>
      <c r="C50" s="16">
        <v>1</v>
      </c>
      <c r="D50" s="16">
        <v>1200</v>
      </c>
      <c r="E50" s="17">
        <v>1200</v>
      </c>
      <c r="F50" s="58">
        <v>5725</v>
      </c>
      <c r="G50" s="8">
        <v>45502</v>
      </c>
      <c r="I50" t="s">
        <v>30</v>
      </c>
    </row>
    <row r="51" spans="1:9" x14ac:dyDescent="0.25">
      <c r="A51" s="15">
        <v>2222</v>
      </c>
      <c r="B51" s="16" t="s">
        <v>5</v>
      </c>
      <c r="C51" s="16">
        <v>1</v>
      </c>
      <c r="D51" s="16">
        <v>2000</v>
      </c>
      <c r="E51" s="17">
        <v>2000</v>
      </c>
      <c r="F51" s="58">
        <v>5725</v>
      </c>
      <c r="G51" s="8">
        <v>45502</v>
      </c>
    </row>
    <row r="52" spans="1:9" x14ac:dyDescent="0.25">
      <c r="A52" s="15">
        <v>1111</v>
      </c>
      <c r="B52" s="16" t="s">
        <v>4</v>
      </c>
      <c r="C52" s="16">
        <v>1</v>
      </c>
      <c r="D52" s="16">
        <v>1500</v>
      </c>
      <c r="E52" s="17">
        <v>1500</v>
      </c>
      <c r="F52" s="58">
        <v>9505</v>
      </c>
      <c r="G52" s="8">
        <v>45502</v>
      </c>
      <c r="I52" t="s">
        <v>30</v>
      </c>
    </row>
    <row r="53" spans="1:9" x14ac:dyDescent="0.25">
      <c r="A53" s="15">
        <v>2222</v>
      </c>
      <c r="B53" s="16" t="s">
        <v>5</v>
      </c>
      <c r="C53" s="16">
        <v>1</v>
      </c>
      <c r="D53" s="16">
        <v>2000</v>
      </c>
      <c r="E53" s="17">
        <v>2000</v>
      </c>
      <c r="F53" s="58">
        <v>9505</v>
      </c>
      <c r="G53" s="8">
        <v>45502</v>
      </c>
    </row>
    <row r="54" spans="1:9" x14ac:dyDescent="0.25">
      <c r="A54" s="15">
        <v>1111</v>
      </c>
      <c r="B54" s="16" t="s">
        <v>4</v>
      </c>
      <c r="C54" s="16">
        <v>1</v>
      </c>
      <c r="D54" s="16">
        <v>1500</v>
      </c>
      <c r="E54" s="17">
        <v>1500</v>
      </c>
      <c r="F54" s="58">
        <v>9505</v>
      </c>
      <c r="G54" s="8">
        <v>45502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P23"/>
  <sheetViews>
    <sheetView zoomScale="85" zoomScaleNormal="85" workbookViewId="0">
      <selection activeCell="G4" sqref="G4"/>
    </sheetView>
  </sheetViews>
  <sheetFormatPr baseColWidth="10" defaultRowHeight="15" x14ac:dyDescent="0.25"/>
  <cols>
    <col min="1" max="1" width="10.42578125" style="15" customWidth="1"/>
    <col min="2" max="2" width="26.5703125" style="16" customWidth="1"/>
    <col min="3" max="3" width="12.7109375" style="16" customWidth="1"/>
    <col min="4" max="4" width="10.5703125" style="16" customWidth="1"/>
    <col min="5" max="5" width="10.85546875" style="17" customWidth="1"/>
    <col min="6" max="6" width="14.28515625" style="66" customWidth="1"/>
    <col min="7" max="7" width="8.85546875" style="2" bestFit="1" customWidth="1"/>
    <col min="8" max="8" width="10.5703125" style="2" bestFit="1" customWidth="1"/>
    <col min="9" max="9" width="12.85546875" style="2" customWidth="1"/>
    <col min="10" max="10" width="10.85546875" style="2" bestFit="1" customWidth="1"/>
    <col min="11" max="11" width="7" style="3" bestFit="1" customWidth="1"/>
    <col min="12" max="13" width="11.42578125" style="3"/>
    <col min="14" max="14" width="32" style="3" customWidth="1"/>
  </cols>
  <sheetData>
    <row r="1" spans="1:15" s="11" customFormat="1" ht="42.75" customHeight="1" thickBot="1" x14ac:dyDescent="0.3">
      <c r="A1" s="21" t="s">
        <v>0</v>
      </c>
      <c r="B1" s="21" t="s">
        <v>2</v>
      </c>
      <c r="C1" s="21" t="s">
        <v>7</v>
      </c>
      <c r="D1" s="21" t="s">
        <v>3</v>
      </c>
      <c r="E1" s="21" t="s">
        <v>1</v>
      </c>
      <c r="F1" s="68" t="s">
        <v>118</v>
      </c>
      <c r="G1" s="10"/>
      <c r="H1" s="13"/>
      <c r="I1" s="22" t="s">
        <v>22</v>
      </c>
      <c r="J1" s="71" t="str">
        <f>VLOOKUP(J2,EMPLEADOS!A:G,2,FALSE)</f>
        <v>DAVID AUGUSTO QUINTERO ECHEVERRI</v>
      </c>
      <c r="K1" s="71"/>
      <c r="L1" s="71"/>
      <c r="M1" s="71"/>
      <c r="N1" s="71"/>
    </row>
    <row r="2" spans="1:15" x14ac:dyDescent="0.25">
      <c r="J2" s="72">
        <v>71272562</v>
      </c>
      <c r="K2" s="72"/>
      <c r="L2" s="2"/>
    </row>
    <row r="3" spans="1:15" x14ac:dyDescent="0.25">
      <c r="I3" s="38" t="s">
        <v>24</v>
      </c>
      <c r="J3" s="72"/>
      <c r="K3" s="72"/>
      <c r="L3" s="2"/>
      <c r="O3" s="7"/>
    </row>
    <row r="4" spans="1:15" x14ac:dyDescent="0.25">
      <c r="K4" s="2"/>
      <c r="L4" s="2"/>
      <c r="M4" s="2"/>
    </row>
    <row r="5" spans="1:15" x14ac:dyDescent="0.25">
      <c r="A5" s="18"/>
      <c r="B5" s="19"/>
      <c r="C5" s="19"/>
      <c r="D5" s="19"/>
      <c r="E5" s="20"/>
      <c r="J5" s="40"/>
      <c r="K5" s="40"/>
      <c r="L5" s="40"/>
      <c r="M5" s="40"/>
      <c r="N5" s="41"/>
    </row>
    <row r="6" spans="1:15" x14ac:dyDescent="0.25">
      <c r="I6" s="36" t="s">
        <v>43</v>
      </c>
      <c r="J6" s="40"/>
      <c r="K6" s="40"/>
      <c r="L6" s="40"/>
      <c r="M6" s="41"/>
      <c r="N6" s="41"/>
    </row>
    <row r="7" spans="1:15" ht="15" customHeight="1" x14ac:dyDescent="0.25">
      <c r="I7" s="14"/>
      <c r="J7" s="40"/>
      <c r="K7" s="41"/>
      <c r="L7" s="41"/>
      <c r="M7" s="41"/>
      <c r="N7" s="41"/>
    </row>
    <row r="8" spans="1:15" ht="15" customHeight="1" x14ac:dyDescent="0.25">
      <c r="I8" s="14"/>
      <c r="J8" s="45"/>
      <c r="K8" s="46"/>
    </row>
    <row r="9" spans="1:15" ht="15" customHeight="1" x14ac:dyDescent="0.25">
      <c r="I9" s="39" t="s">
        <v>44</v>
      </c>
      <c r="J9" s="45"/>
      <c r="K9" s="46"/>
      <c r="L9" s="43"/>
      <c r="M9" s="44"/>
      <c r="N9" s="43"/>
    </row>
    <row r="10" spans="1:15" x14ac:dyDescent="0.25">
      <c r="J10" s="6"/>
      <c r="K10" s="43"/>
      <c r="L10" s="43"/>
      <c r="M10" s="43"/>
      <c r="N10" s="43"/>
    </row>
    <row r="11" spans="1:15" x14ac:dyDescent="0.25">
      <c r="J11" s="6"/>
      <c r="K11" s="43"/>
      <c r="L11" s="43"/>
      <c r="M11" s="43"/>
      <c r="N11" s="43"/>
    </row>
    <row r="12" spans="1:15" x14ac:dyDescent="0.25">
      <c r="D12" s="77"/>
    </row>
    <row r="13" spans="1:15" x14ac:dyDescent="0.25">
      <c r="F13" s="67"/>
    </row>
    <row r="18" spans="15:16" x14ac:dyDescent="0.25">
      <c r="O18" s="2"/>
      <c r="P18" s="2"/>
    </row>
    <row r="19" spans="15:16" x14ac:dyDescent="0.25">
      <c r="O19" s="2"/>
      <c r="P19" s="2"/>
    </row>
    <row r="20" spans="15:16" x14ac:dyDescent="0.25">
      <c r="O20" s="29" t="s">
        <v>23</v>
      </c>
      <c r="P20" s="30">
        <f>-19%</f>
        <v>-0.19</v>
      </c>
    </row>
    <row r="21" spans="15:16" x14ac:dyDescent="0.25">
      <c r="O21" s="70">
        <f>SUM(E:E)</f>
        <v>0</v>
      </c>
      <c r="P21" s="70"/>
    </row>
    <row r="22" spans="15:16" x14ac:dyDescent="0.25">
      <c r="O22" s="70"/>
      <c r="P22" s="70"/>
    </row>
    <row r="23" spans="15:16" x14ac:dyDescent="0.25">
      <c r="O23" s="2"/>
      <c r="P23" s="2"/>
    </row>
  </sheetData>
  <mergeCells count="3">
    <mergeCell ref="O21:P22"/>
    <mergeCell ref="J1:N1"/>
    <mergeCell ref="J2:K3"/>
  </mergeCells>
  <conditionalFormatting sqref="A1 C1:G1 I1">
    <cfRule type="duplicateValues" dxfId="0" priority="5"/>
  </conditionalFormatting>
  <pageMargins left="0.25" right="0.25" top="0.75" bottom="0.75" header="0.3" footer="0.3"/>
  <pageSetup paperSize="1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24"/>
  <sheetViews>
    <sheetView zoomScale="115" zoomScaleNormal="115" workbookViewId="0">
      <selection activeCell="D2" sqref="D2"/>
    </sheetView>
  </sheetViews>
  <sheetFormatPr baseColWidth="10" defaultRowHeight="15" x14ac:dyDescent="0.25"/>
  <cols>
    <col min="2" max="2" width="32.42578125" customWidth="1"/>
    <col min="5" max="5" width="64.42578125" customWidth="1"/>
    <col min="10" max="10" width="12.42578125" customWidth="1"/>
  </cols>
  <sheetData>
    <row r="1" spans="1:10" x14ac:dyDescent="0.25">
      <c r="A1" s="60"/>
      <c r="B1" s="60"/>
    </row>
    <row r="2" spans="1:10" ht="57" customHeight="1" x14ac:dyDescent="0.25">
      <c r="A2" s="60"/>
      <c r="B2" s="60"/>
      <c r="C2" t="s">
        <v>52</v>
      </c>
      <c r="J2" s="59"/>
    </row>
    <row r="3" spans="1:10" x14ac:dyDescent="0.25">
      <c r="A3" s="60"/>
      <c r="B3" s="60"/>
      <c r="E3" t="s">
        <v>114</v>
      </c>
    </row>
    <row r="4" spans="1:10" x14ac:dyDescent="0.25">
      <c r="A4" s="60"/>
      <c r="B4" s="60"/>
      <c r="E4" t="s">
        <v>106</v>
      </c>
    </row>
    <row r="5" spans="1:10" x14ac:dyDescent="0.25">
      <c r="A5" s="60"/>
      <c r="B5" s="60"/>
      <c r="E5" t="s">
        <v>107</v>
      </c>
    </row>
    <row r="6" spans="1:10" x14ac:dyDescent="0.25">
      <c r="A6" s="60"/>
      <c r="B6" s="60"/>
      <c r="D6" s="63"/>
      <c r="E6" t="s">
        <v>108</v>
      </c>
    </row>
    <row r="7" spans="1:10" x14ac:dyDescent="0.25">
      <c r="A7" s="60"/>
      <c r="B7" s="60"/>
      <c r="E7" t="s">
        <v>109</v>
      </c>
    </row>
    <row r="8" spans="1:10" x14ac:dyDescent="0.25">
      <c r="A8" s="60"/>
      <c r="B8" s="60"/>
      <c r="E8" t="s">
        <v>110</v>
      </c>
    </row>
    <row r="9" spans="1:10" x14ac:dyDescent="0.25">
      <c r="A9" s="60"/>
      <c r="B9" s="60"/>
      <c r="E9" t="s">
        <v>111</v>
      </c>
    </row>
    <row r="10" spans="1:10" x14ac:dyDescent="0.25">
      <c r="A10" s="60"/>
      <c r="B10" s="60"/>
      <c r="E10" t="s">
        <v>112</v>
      </c>
    </row>
    <row r="11" spans="1:10" x14ac:dyDescent="0.25">
      <c r="A11" s="60"/>
      <c r="B11" s="60"/>
      <c r="D11" t="s">
        <v>52</v>
      </c>
      <c r="E11" t="s">
        <v>113</v>
      </c>
    </row>
    <row r="12" spans="1:10" x14ac:dyDescent="0.25">
      <c r="A12" s="60"/>
      <c r="B12" s="60"/>
      <c r="E12" s="69" t="s">
        <v>115</v>
      </c>
    </row>
    <row r="13" spans="1:10" x14ac:dyDescent="0.25">
      <c r="A13" s="60"/>
      <c r="B13" s="60"/>
      <c r="E13" t="s">
        <v>116</v>
      </c>
    </row>
    <row r="14" spans="1:10" x14ac:dyDescent="0.25">
      <c r="A14" s="60"/>
      <c r="B14" s="60"/>
      <c r="E14" t="s">
        <v>117</v>
      </c>
    </row>
    <row r="15" spans="1:10" x14ac:dyDescent="0.25">
      <c r="A15" s="60"/>
      <c r="B15" s="60"/>
    </row>
    <row r="16" spans="1:10" x14ac:dyDescent="0.25">
      <c r="A16" s="60"/>
      <c r="B16" s="60"/>
    </row>
    <row r="17" spans="1:2" x14ac:dyDescent="0.25">
      <c r="A17" s="60"/>
      <c r="B17" s="60"/>
    </row>
    <row r="18" spans="1:2" ht="21" x14ac:dyDescent="0.35">
      <c r="A18" s="64" t="s">
        <v>42</v>
      </c>
      <c r="B18" s="60"/>
    </row>
    <row r="19" spans="1:2" x14ac:dyDescent="0.25">
      <c r="A19" s="73" t="s">
        <v>105</v>
      </c>
      <c r="B19" s="73"/>
    </row>
    <row r="20" spans="1:2" x14ac:dyDescent="0.25">
      <c r="A20" s="73"/>
      <c r="B20" s="73"/>
    </row>
    <row r="21" spans="1:2" x14ac:dyDescent="0.25">
      <c r="A21" s="60"/>
      <c r="B21" s="60"/>
    </row>
    <row r="22" spans="1:2" x14ac:dyDescent="0.25">
      <c r="A22" s="60"/>
      <c r="B22" s="60"/>
    </row>
    <row r="23" spans="1:2" x14ac:dyDescent="0.25">
      <c r="A23" s="60"/>
      <c r="B23" s="60"/>
    </row>
    <row r="24" spans="1:2" x14ac:dyDescent="0.25">
      <c r="A24" s="60"/>
      <c r="B24" s="60"/>
    </row>
  </sheetData>
  <mergeCells count="1">
    <mergeCell ref="A19:B2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6"/>
  <sheetViews>
    <sheetView workbookViewId="0">
      <selection activeCell="D24" sqref="D24"/>
    </sheetView>
  </sheetViews>
  <sheetFormatPr baseColWidth="10" defaultRowHeight="15" x14ac:dyDescent="0.25"/>
  <cols>
    <col min="1" max="1" width="11.42578125" style="24"/>
    <col min="2" max="2" width="37.42578125" style="2" customWidth="1"/>
    <col min="3" max="3" width="15" style="2" customWidth="1"/>
    <col min="4" max="4" width="17" style="2" customWidth="1"/>
    <col min="5" max="5" width="29.85546875" style="2" customWidth="1"/>
    <col min="6" max="6" width="11.42578125" style="2"/>
    <col min="7" max="7" width="45.28515625" style="42" customWidth="1"/>
    <col min="8" max="8" width="11.5703125" customWidth="1"/>
  </cols>
  <sheetData>
    <row r="1" spans="1:7" s="1" customFormat="1" x14ac:dyDescent="0.25">
      <c r="A1" s="26" t="s">
        <v>24</v>
      </c>
      <c r="B1" s="26" t="s">
        <v>25</v>
      </c>
      <c r="C1" s="26" t="s">
        <v>26</v>
      </c>
      <c r="D1" s="26" t="s">
        <v>27</v>
      </c>
      <c r="E1" s="26" t="s">
        <v>28</v>
      </c>
      <c r="F1" s="26" t="s">
        <v>32</v>
      </c>
      <c r="G1" s="26" t="s">
        <v>29</v>
      </c>
    </row>
    <row r="2" spans="1:7" x14ac:dyDescent="0.25">
      <c r="A2" s="24">
        <v>71272562</v>
      </c>
      <c r="B2" s="2" t="s">
        <v>30</v>
      </c>
      <c r="C2" s="2">
        <v>3137226598</v>
      </c>
      <c r="D2" s="2">
        <v>3167188394</v>
      </c>
      <c r="E2" s="2" t="s">
        <v>31</v>
      </c>
      <c r="F2" s="2" t="s">
        <v>33</v>
      </c>
      <c r="G2" s="25" t="s">
        <v>34</v>
      </c>
    </row>
    <row r="3" spans="1:7" x14ac:dyDescent="0.25">
      <c r="A3" s="24">
        <v>71272563</v>
      </c>
      <c r="B3" s="2" t="s">
        <v>45</v>
      </c>
      <c r="C3" s="2">
        <v>24343244</v>
      </c>
      <c r="D3" s="2">
        <v>1242424</v>
      </c>
      <c r="E3" s="2" t="s">
        <v>46</v>
      </c>
      <c r="F3" s="2" t="s">
        <v>47</v>
      </c>
      <c r="G3" s="25" t="s">
        <v>48</v>
      </c>
    </row>
    <row r="4" spans="1:7" x14ac:dyDescent="0.25">
      <c r="A4" s="24">
        <v>123456</v>
      </c>
      <c r="B4" s="2" t="s">
        <v>57</v>
      </c>
      <c r="C4" s="2">
        <v>16576567</v>
      </c>
      <c r="D4" s="2">
        <v>36525263</v>
      </c>
      <c r="E4" s="2" t="s">
        <v>58</v>
      </c>
      <c r="F4" s="2" t="s">
        <v>47</v>
      </c>
      <c r="G4" s="42" t="s">
        <v>59</v>
      </c>
    </row>
    <row r="5" spans="1:7" x14ac:dyDescent="0.25">
      <c r="A5" s="24">
        <v>8756757</v>
      </c>
      <c r="B5" s="2" t="s">
        <v>60</v>
      </c>
      <c r="C5" s="2" t="s">
        <v>61</v>
      </c>
      <c r="D5" s="2" t="s">
        <v>61</v>
      </c>
      <c r="E5" s="2" t="s">
        <v>62</v>
      </c>
      <c r="F5" s="2" t="s">
        <v>63</v>
      </c>
      <c r="G5" s="42" t="s">
        <v>64</v>
      </c>
    </row>
    <row r="6" spans="1:7" x14ac:dyDescent="0.25">
      <c r="A6" s="24" t="s">
        <v>74</v>
      </c>
      <c r="B6" s="2" t="s">
        <v>75</v>
      </c>
      <c r="C6" s="2" t="s">
        <v>76</v>
      </c>
      <c r="D6" s="2" t="s">
        <v>77</v>
      </c>
      <c r="E6" s="2" t="s">
        <v>75</v>
      </c>
      <c r="F6" s="2" t="s">
        <v>67</v>
      </c>
      <c r="G6" s="42" t="s">
        <v>78</v>
      </c>
    </row>
  </sheetData>
  <hyperlinks>
    <hyperlink ref="G2" r:id="rId1"/>
    <hyperlink ref="G3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G164"/>
  <sheetViews>
    <sheetView workbookViewId="0">
      <selection activeCell="H16" sqref="H16"/>
    </sheetView>
  </sheetViews>
  <sheetFormatPr baseColWidth="10" defaultRowHeight="15" x14ac:dyDescent="0.25"/>
  <cols>
    <col min="1" max="1" width="11.42578125" style="33"/>
    <col min="2" max="2" width="11.42578125" style="35"/>
    <col min="3" max="3" width="11.42578125" style="3"/>
    <col min="4" max="4" width="11.42578125" style="36"/>
    <col min="5" max="5" width="11.42578125" style="37"/>
    <col min="7" max="7" width="10.140625" customWidth="1"/>
  </cols>
  <sheetData>
    <row r="2" spans="1:7" x14ac:dyDescent="0.25">
      <c r="B2" s="74" t="s">
        <v>39</v>
      </c>
      <c r="C2" s="75"/>
      <c r="D2" s="75"/>
      <c r="E2" s="76"/>
      <c r="G2" s="8"/>
    </row>
    <row r="3" spans="1:7" x14ac:dyDescent="0.25">
      <c r="B3" s="74"/>
      <c r="C3" s="75"/>
      <c r="D3" s="75"/>
      <c r="E3" s="76"/>
    </row>
    <row r="4" spans="1:7" x14ac:dyDescent="0.25">
      <c r="B4" s="35" t="s">
        <v>40</v>
      </c>
    </row>
    <row r="5" spans="1:7" x14ac:dyDescent="0.25">
      <c r="B5" s="35" t="s">
        <v>41</v>
      </c>
      <c r="D5" s="36" t="s">
        <v>17</v>
      </c>
      <c r="E5" s="54"/>
      <c r="G5" s="8"/>
    </row>
    <row r="6" spans="1:7" x14ac:dyDescent="0.25">
      <c r="B6" s="4" t="s">
        <v>37</v>
      </c>
      <c r="C6" s="51"/>
      <c r="D6" s="36" t="s">
        <v>53</v>
      </c>
      <c r="E6" s="53"/>
    </row>
    <row r="7" spans="1:7" x14ac:dyDescent="0.25">
      <c r="B7" s="49" t="s">
        <v>43</v>
      </c>
      <c r="C7" s="52"/>
      <c r="D7" s="52"/>
      <c r="E7" s="53"/>
    </row>
    <row r="8" spans="1:7" x14ac:dyDescent="0.25">
      <c r="B8" s="49" t="s">
        <v>42</v>
      </c>
      <c r="C8" s="47" t="s">
        <v>30</v>
      </c>
      <c r="D8" s="47"/>
      <c r="E8" s="48"/>
    </row>
    <row r="9" spans="1:7" x14ac:dyDescent="0.25">
      <c r="A9" s="34" t="s">
        <v>37</v>
      </c>
      <c r="B9" s="35" t="s">
        <v>20</v>
      </c>
      <c r="C9" s="3" t="s">
        <v>38</v>
      </c>
      <c r="D9" s="36" t="s">
        <v>18</v>
      </c>
      <c r="E9" s="5" t="s">
        <v>9</v>
      </c>
    </row>
    <row r="10" spans="1:7" x14ac:dyDescent="0.25">
      <c r="A10" s="34"/>
      <c r="E10" s="5"/>
    </row>
    <row r="11" spans="1:7" x14ac:dyDescent="0.25">
      <c r="A11" s="34"/>
      <c r="E11" s="5"/>
    </row>
    <row r="12" spans="1:7" x14ac:dyDescent="0.25">
      <c r="A12" s="34"/>
      <c r="E12" s="5"/>
    </row>
    <row r="13" spans="1:7" x14ac:dyDescent="0.25">
      <c r="A13" s="34"/>
      <c r="E13" s="5"/>
    </row>
    <row r="14" spans="1:7" x14ac:dyDescent="0.25">
      <c r="A14" s="34"/>
      <c r="E14" s="5"/>
    </row>
    <row r="15" spans="1:7" x14ac:dyDescent="0.25">
      <c r="A15" s="34"/>
      <c r="E15" s="5"/>
    </row>
    <row r="16" spans="1:7" x14ac:dyDescent="0.25">
      <c r="A16" s="34"/>
      <c r="E16" s="5"/>
    </row>
    <row r="17" spans="1:5" x14ac:dyDescent="0.25">
      <c r="A17" s="34"/>
      <c r="E17" s="5"/>
    </row>
    <row r="18" spans="1:5" x14ac:dyDescent="0.25">
      <c r="A18" s="34"/>
      <c r="E18" s="5"/>
    </row>
    <row r="19" spans="1:5" x14ac:dyDescent="0.25">
      <c r="A19" s="34"/>
      <c r="E19" s="5"/>
    </row>
    <row r="20" spans="1:5" x14ac:dyDescent="0.25">
      <c r="A20" s="34"/>
      <c r="E20" s="5"/>
    </row>
    <row r="21" spans="1:5" x14ac:dyDescent="0.25">
      <c r="A21" s="34"/>
      <c r="E21" s="5"/>
    </row>
    <row r="22" spans="1:5" x14ac:dyDescent="0.25">
      <c r="A22" s="34"/>
      <c r="E22" s="5"/>
    </row>
    <row r="23" spans="1:5" x14ac:dyDescent="0.25">
      <c r="A23" s="34"/>
      <c r="E23" s="5"/>
    </row>
    <row r="24" spans="1:5" x14ac:dyDescent="0.25">
      <c r="A24" s="34"/>
      <c r="E24" s="5"/>
    </row>
    <row r="25" spans="1:5" x14ac:dyDescent="0.25">
      <c r="A25" s="34"/>
      <c r="E25" s="5"/>
    </row>
    <row r="26" spans="1:5" x14ac:dyDescent="0.25">
      <c r="A26" s="34"/>
      <c r="E26" s="5"/>
    </row>
    <row r="27" spans="1:5" x14ac:dyDescent="0.25">
      <c r="A27" s="34"/>
      <c r="E27" s="5"/>
    </row>
    <row r="28" spans="1:5" x14ac:dyDescent="0.25">
      <c r="A28" s="34"/>
      <c r="E28" s="5"/>
    </row>
    <row r="29" spans="1:5" x14ac:dyDescent="0.25">
      <c r="A29" s="34"/>
      <c r="E29" s="5"/>
    </row>
    <row r="30" spans="1:5" x14ac:dyDescent="0.25">
      <c r="A30" s="34"/>
      <c r="E30" s="5"/>
    </row>
    <row r="31" spans="1:5" x14ac:dyDescent="0.25">
      <c r="A31" s="34"/>
      <c r="E31" s="5"/>
    </row>
    <row r="32" spans="1:5" x14ac:dyDescent="0.25">
      <c r="A32" s="34"/>
      <c r="E32" s="5"/>
    </row>
    <row r="33" spans="1:5" x14ac:dyDescent="0.25">
      <c r="A33" s="34"/>
      <c r="E33" s="5"/>
    </row>
    <row r="34" spans="1:5" x14ac:dyDescent="0.25">
      <c r="A34" s="34"/>
      <c r="E34" s="5"/>
    </row>
    <row r="35" spans="1:5" x14ac:dyDescent="0.25">
      <c r="A35" s="34"/>
      <c r="E35" s="5"/>
    </row>
    <row r="36" spans="1:5" x14ac:dyDescent="0.25">
      <c r="A36" s="34"/>
      <c r="E36" s="5"/>
    </row>
    <row r="37" spans="1:5" x14ac:dyDescent="0.25">
      <c r="A37" s="34"/>
      <c r="E37" s="5"/>
    </row>
    <row r="38" spans="1:5" x14ac:dyDescent="0.25">
      <c r="A38" s="34"/>
      <c r="E38" s="5"/>
    </row>
    <row r="39" spans="1:5" x14ac:dyDescent="0.25">
      <c r="A39" s="34"/>
      <c r="E39" s="5"/>
    </row>
    <row r="40" spans="1:5" x14ac:dyDescent="0.25">
      <c r="A40" s="34"/>
      <c r="E40" s="5"/>
    </row>
    <row r="41" spans="1:5" x14ac:dyDescent="0.25">
      <c r="A41" s="34"/>
      <c r="E41" s="5"/>
    </row>
    <row r="42" spans="1:5" x14ac:dyDescent="0.25">
      <c r="A42" s="34"/>
      <c r="E42" s="5"/>
    </row>
    <row r="43" spans="1:5" x14ac:dyDescent="0.25">
      <c r="A43" s="34"/>
      <c r="E43" s="5"/>
    </row>
    <row r="44" spans="1:5" x14ac:dyDescent="0.25">
      <c r="A44" s="34"/>
      <c r="E44" s="5"/>
    </row>
    <row r="45" spans="1:5" x14ac:dyDescent="0.25">
      <c r="A45" s="34"/>
      <c r="E45" s="5"/>
    </row>
    <row r="46" spans="1:5" x14ac:dyDescent="0.25">
      <c r="A46" s="34"/>
      <c r="E46" s="5"/>
    </row>
    <row r="47" spans="1:5" x14ac:dyDescent="0.25">
      <c r="A47" s="34"/>
      <c r="E47" s="5"/>
    </row>
    <row r="48" spans="1:5" x14ac:dyDescent="0.25">
      <c r="A48" s="34"/>
      <c r="E48" s="5"/>
    </row>
    <row r="49" spans="1:5" x14ac:dyDescent="0.25">
      <c r="A49" s="34"/>
      <c r="E49" s="5"/>
    </row>
    <row r="50" spans="1:5" x14ac:dyDescent="0.25">
      <c r="A50" s="34"/>
      <c r="E50" s="5"/>
    </row>
    <row r="51" spans="1:5" x14ac:dyDescent="0.25">
      <c r="A51" s="34"/>
      <c r="E51" s="5"/>
    </row>
    <row r="52" spans="1:5" x14ac:dyDescent="0.25">
      <c r="A52" s="34"/>
      <c r="E52" s="5"/>
    </row>
    <row r="53" spans="1:5" x14ac:dyDescent="0.25">
      <c r="A53" s="34"/>
      <c r="E53" s="5"/>
    </row>
    <row r="54" spans="1:5" x14ac:dyDescent="0.25">
      <c r="A54" s="34"/>
      <c r="E54" s="5"/>
    </row>
    <row r="55" spans="1:5" x14ac:dyDescent="0.25">
      <c r="A55" s="34"/>
      <c r="E55" s="5"/>
    </row>
    <row r="56" spans="1:5" x14ac:dyDescent="0.25">
      <c r="A56" s="34"/>
      <c r="E56" s="5"/>
    </row>
    <row r="57" spans="1:5" x14ac:dyDescent="0.25">
      <c r="A57" s="34"/>
      <c r="E57" s="5"/>
    </row>
    <row r="58" spans="1:5" x14ac:dyDescent="0.25">
      <c r="A58" s="34"/>
      <c r="E58" s="5"/>
    </row>
    <row r="59" spans="1:5" x14ac:dyDescent="0.25">
      <c r="A59" s="34"/>
      <c r="E59" s="5"/>
    </row>
    <row r="60" spans="1:5" x14ac:dyDescent="0.25">
      <c r="A60" s="34"/>
      <c r="E60" s="5"/>
    </row>
    <row r="61" spans="1:5" x14ac:dyDescent="0.25">
      <c r="A61" s="34"/>
      <c r="E61" s="5"/>
    </row>
    <row r="62" spans="1:5" x14ac:dyDescent="0.25">
      <c r="A62" s="34"/>
      <c r="E62" s="5"/>
    </row>
    <row r="63" spans="1:5" x14ac:dyDescent="0.25">
      <c r="A63" s="34"/>
      <c r="E63" s="5"/>
    </row>
    <row r="64" spans="1:5" x14ac:dyDescent="0.25">
      <c r="A64" s="34"/>
      <c r="E64" s="5"/>
    </row>
    <row r="65" spans="1:5" x14ac:dyDescent="0.25">
      <c r="A65" s="34"/>
      <c r="E65" s="5"/>
    </row>
    <row r="66" spans="1:5" x14ac:dyDescent="0.25">
      <c r="A66" s="34"/>
      <c r="E66" s="5"/>
    </row>
    <row r="67" spans="1:5" x14ac:dyDescent="0.25">
      <c r="A67" s="34"/>
      <c r="E67" s="5"/>
    </row>
    <row r="68" spans="1:5" x14ac:dyDescent="0.25">
      <c r="A68" s="34"/>
      <c r="E68" s="5"/>
    </row>
    <row r="69" spans="1:5" x14ac:dyDescent="0.25">
      <c r="A69" s="34"/>
      <c r="E69" s="5"/>
    </row>
    <row r="70" spans="1:5" x14ac:dyDescent="0.25">
      <c r="A70" s="34"/>
      <c r="E70" s="5"/>
    </row>
    <row r="71" spans="1:5" x14ac:dyDescent="0.25">
      <c r="A71" s="34"/>
      <c r="E71" s="5"/>
    </row>
    <row r="72" spans="1:5" x14ac:dyDescent="0.25">
      <c r="A72" s="34"/>
      <c r="E72" s="5"/>
    </row>
    <row r="73" spans="1:5" x14ac:dyDescent="0.25">
      <c r="A73" s="34"/>
      <c r="E73" s="5"/>
    </row>
    <row r="74" spans="1:5" x14ac:dyDescent="0.25">
      <c r="A74" s="34"/>
      <c r="E74" s="5"/>
    </row>
    <row r="75" spans="1:5" x14ac:dyDescent="0.25">
      <c r="A75" s="34"/>
      <c r="E75" s="5"/>
    </row>
    <row r="76" spans="1:5" x14ac:dyDescent="0.25">
      <c r="A76" s="34"/>
      <c r="E76" s="5"/>
    </row>
    <row r="77" spans="1:5" x14ac:dyDescent="0.25">
      <c r="A77" s="34"/>
      <c r="E77" s="5"/>
    </row>
    <row r="78" spans="1:5" x14ac:dyDescent="0.25">
      <c r="A78" s="34"/>
      <c r="E78" s="5"/>
    </row>
    <row r="79" spans="1:5" x14ac:dyDescent="0.25">
      <c r="A79" s="34"/>
      <c r="E79" s="5"/>
    </row>
    <row r="80" spans="1:5" x14ac:dyDescent="0.25">
      <c r="A80" s="34"/>
      <c r="E80" s="5"/>
    </row>
    <row r="81" spans="1:7" x14ac:dyDescent="0.25">
      <c r="A81" s="34"/>
      <c r="E81" s="5"/>
    </row>
    <row r="82" spans="1:7" x14ac:dyDescent="0.25">
      <c r="A82" s="34"/>
      <c r="E82" s="5"/>
      <c r="F82" t="s">
        <v>52</v>
      </c>
    </row>
    <row r="83" spans="1:7" x14ac:dyDescent="0.25">
      <c r="A83" s="34"/>
      <c r="E83" s="5"/>
    </row>
    <row r="84" spans="1:7" x14ac:dyDescent="0.25">
      <c r="A84" s="34"/>
      <c r="E84" s="5"/>
    </row>
    <row r="85" spans="1:7" x14ac:dyDescent="0.25">
      <c r="A85" s="34"/>
      <c r="E85" s="5"/>
      <c r="G85" s="50"/>
    </row>
    <row r="86" spans="1:7" x14ac:dyDescent="0.25">
      <c r="A86" s="34"/>
      <c r="E86" s="5"/>
    </row>
    <row r="87" spans="1:7" x14ac:dyDescent="0.25">
      <c r="A87" s="34"/>
      <c r="E87" s="5"/>
    </row>
    <row r="88" spans="1:7" x14ac:dyDescent="0.25">
      <c r="A88" s="34"/>
      <c r="E88" s="5"/>
    </row>
    <row r="89" spans="1:7" x14ac:dyDescent="0.25">
      <c r="A89" s="34"/>
      <c r="E89" s="5"/>
    </row>
    <row r="90" spans="1:7" x14ac:dyDescent="0.25">
      <c r="A90" s="34"/>
      <c r="E90" s="5"/>
    </row>
    <row r="91" spans="1:7" x14ac:dyDescent="0.25">
      <c r="A91" s="34"/>
      <c r="E91" s="5"/>
    </row>
    <row r="92" spans="1:7" x14ac:dyDescent="0.25">
      <c r="A92" s="34"/>
      <c r="E92" s="5"/>
    </row>
    <row r="93" spans="1:7" x14ac:dyDescent="0.25">
      <c r="A93" s="34"/>
      <c r="E93" s="5"/>
    </row>
    <row r="94" spans="1:7" x14ac:dyDescent="0.25">
      <c r="A94" s="34"/>
      <c r="E94" s="5"/>
    </row>
    <row r="95" spans="1:7" x14ac:dyDescent="0.25">
      <c r="A95" s="34"/>
      <c r="E95" s="5"/>
    </row>
    <row r="96" spans="1:7" x14ac:dyDescent="0.25">
      <c r="A96" s="34"/>
      <c r="E96" s="5"/>
    </row>
    <row r="97" spans="1:5" x14ac:dyDescent="0.25">
      <c r="A97" s="34"/>
      <c r="E97" s="5"/>
    </row>
    <row r="98" spans="1:5" x14ac:dyDescent="0.25">
      <c r="A98" s="34"/>
      <c r="E98" s="5"/>
    </row>
    <row r="99" spans="1:5" x14ac:dyDescent="0.25">
      <c r="A99" s="34"/>
      <c r="E99" s="5"/>
    </row>
    <row r="100" spans="1:5" x14ac:dyDescent="0.25">
      <c r="A100" s="34"/>
      <c r="E100" s="5"/>
    </row>
    <row r="101" spans="1:5" x14ac:dyDescent="0.25">
      <c r="A101" s="34"/>
      <c r="E101" s="5"/>
    </row>
    <row r="102" spans="1:5" x14ac:dyDescent="0.25">
      <c r="A102" s="34"/>
      <c r="E102" s="5"/>
    </row>
    <row r="103" spans="1:5" x14ac:dyDescent="0.25">
      <c r="A103" s="34"/>
      <c r="E103" s="5"/>
    </row>
    <row r="104" spans="1:5" x14ac:dyDescent="0.25">
      <c r="A104" s="34"/>
      <c r="E104" s="5"/>
    </row>
    <row r="105" spans="1:5" x14ac:dyDescent="0.25">
      <c r="A105" s="34"/>
      <c r="E105" s="5"/>
    </row>
    <row r="106" spans="1:5" x14ac:dyDescent="0.25">
      <c r="A106" s="34"/>
      <c r="E106" s="5"/>
    </row>
    <row r="107" spans="1:5" x14ac:dyDescent="0.25">
      <c r="A107" s="34"/>
      <c r="E107" s="5"/>
    </row>
    <row r="108" spans="1:5" x14ac:dyDescent="0.25">
      <c r="A108" s="34"/>
      <c r="E108" s="5"/>
    </row>
    <row r="109" spans="1:5" x14ac:dyDescent="0.25">
      <c r="A109" s="34"/>
      <c r="E109" s="5"/>
    </row>
    <row r="110" spans="1:5" x14ac:dyDescent="0.25">
      <c r="A110" s="34"/>
      <c r="E110" s="5"/>
    </row>
    <row r="111" spans="1:5" x14ac:dyDescent="0.25">
      <c r="A111" s="34"/>
      <c r="E111" s="5"/>
    </row>
    <row r="112" spans="1:5" x14ac:dyDescent="0.25">
      <c r="A112" s="34"/>
      <c r="E112" s="5"/>
    </row>
    <row r="113" spans="1:5" x14ac:dyDescent="0.25">
      <c r="A113" s="34"/>
      <c r="E113" s="5"/>
    </row>
    <row r="114" spans="1:5" x14ac:dyDescent="0.25">
      <c r="A114" s="34"/>
      <c r="E114" s="5"/>
    </row>
    <row r="115" spans="1:5" x14ac:dyDescent="0.25">
      <c r="A115" s="34"/>
      <c r="E115" s="5"/>
    </row>
    <row r="116" spans="1:5" x14ac:dyDescent="0.25">
      <c r="A116" s="34"/>
      <c r="E116" s="5"/>
    </row>
    <row r="117" spans="1:5" x14ac:dyDescent="0.25">
      <c r="A117" s="34"/>
      <c r="E117" s="5"/>
    </row>
    <row r="118" spans="1:5" x14ac:dyDescent="0.25">
      <c r="A118" s="34"/>
      <c r="E118" s="5"/>
    </row>
    <row r="119" spans="1:5" x14ac:dyDescent="0.25">
      <c r="A119" s="34"/>
      <c r="E119" s="5"/>
    </row>
    <row r="120" spans="1:5" x14ac:dyDescent="0.25">
      <c r="A120" s="34"/>
      <c r="E120" s="5"/>
    </row>
    <row r="121" spans="1:5" x14ac:dyDescent="0.25">
      <c r="A121" s="34"/>
      <c r="E121" s="5"/>
    </row>
    <row r="122" spans="1:5" x14ac:dyDescent="0.25">
      <c r="A122" s="34"/>
      <c r="E122" s="5"/>
    </row>
    <row r="123" spans="1:5" x14ac:dyDescent="0.25">
      <c r="A123" s="34"/>
      <c r="E123" s="5"/>
    </row>
    <row r="124" spans="1:5" x14ac:dyDescent="0.25">
      <c r="A124" s="34"/>
      <c r="E124" s="5"/>
    </row>
    <row r="125" spans="1:5" x14ac:dyDescent="0.25">
      <c r="A125" s="34"/>
      <c r="E125" s="5"/>
    </row>
    <row r="126" spans="1:5" x14ac:dyDescent="0.25">
      <c r="A126" s="34"/>
      <c r="E126" s="5"/>
    </row>
    <row r="127" spans="1:5" x14ac:dyDescent="0.25">
      <c r="A127" s="34"/>
      <c r="E127" s="5"/>
    </row>
    <row r="128" spans="1:5" x14ac:dyDescent="0.25">
      <c r="A128" s="34"/>
      <c r="E128" s="5"/>
    </row>
    <row r="129" spans="1:5" x14ac:dyDescent="0.25">
      <c r="A129" s="34"/>
      <c r="E129" s="5"/>
    </row>
    <row r="130" spans="1:5" x14ac:dyDescent="0.25">
      <c r="A130" s="34"/>
      <c r="E130" s="5"/>
    </row>
    <row r="131" spans="1:5" x14ac:dyDescent="0.25">
      <c r="A131" s="34"/>
      <c r="E131" s="5"/>
    </row>
    <row r="132" spans="1:5" x14ac:dyDescent="0.25">
      <c r="A132" s="34"/>
      <c r="E132" s="5"/>
    </row>
    <row r="133" spans="1:5" x14ac:dyDescent="0.25">
      <c r="A133" s="34"/>
      <c r="E133" s="5"/>
    </row>
    <row r="134" spans="1:5" x14ac:dyDescent="0.25">
      <c r="A134" s="34"/>
      <c r="E134" s="5"/>
    </row>
    <row r="135" spans="1:5" x14ac:dyDescent="0.25">
      <c r="A135" s="34"/>
      <c r="E135" s="5"/>
    </row>
    <row r="136" spans="1:5" x14ac:dyDescent="0.25">
      <c r="A136" s="34"/>
      <c r="E136" s="5"/>
    </row>
    <row r="137" spans="1:5" x14ac:dyDescent="0.25">
      <c r="A137" s="34"/>
      <c r="E137" s="5"/>
    </row>
    <row r="138" spans="1:5" x14ac:dyDescent="0.25">
      <c r="A138" s="34"/>
      <c r="E138" s="5"/>
    </row>
    <row r="139" spans="1:5" x14ac:dyDescent="0.25">
      <c r="A139" s="34"/>
      <c r="E139" s="5"/>
    </row>
    <row r="140" spans="1:5" x14ac:dyDescent="0.25">
      <c r="A140" s="34"/>
      <c r="E140" s="5"/>
    </row>
    <row r="141" spans="1:5" x14ac:dyDescent="0.25">
      <c r="A141" s="34"/>
      <c r="E141" s="5"/>
    </row>
    <row r="142" spans="1:5" x14ac:dyDescent="0.25">
      <c r="A142" s="34"/>
      <c r="E142" s="5"/>
    </row>
    <row r="143" spans="1:5" x14ac:dyDescent="0.25">
      <c r="A143" s="34"/>
      <c r="E143" s="5"/>
    </row>
    <row r="144" spans="1:5" x14ac:dyDescent="0.25">
      <c r="A144" s="34"/>
      <c r="E144" s="5"/>
    </row>
    <row r="145" spans="1:5" x14ac:dyDescent="0.25">
      <c r="A145" s="34"/>
      <c r="E145" s="5"/>
    </row>
    <row r="146" spans="1:5" x14ac:dyDescent="0.25">
      <c r="A146" s="34"/>
      <c r="E146" s="5"/>
    </row>
    <row r="147" spans="1:5" x14ac:dyDescent="0.25">
      <c r="A147" s="34"/>
      <c r="E147" s="5"/>
    </row>
    <row r="148" spans="1:5" x14ac:dyDescent="0.25">
      <c r="A148" s="34"/>
      <c r="E148" s="5"/>
    </row>
    <row r="149" spans="1:5" x14ac:dyDescent="0.25">
      <c r="A149" s="34"/>
      <c r="E149" s="5"/>
    </row>
    <row r="150" spans="1:5" x14ac:dyDescent="0.25">
      <c r="A150" s="34"/>
      <c r="E150" s="5"/>
    </row>
    <row r="151" spans="1:5" x14ac:dyDescent="0.25">
      <c r="A151" s="34"/>
      <c r="E151" s="5"/>
    </row>
    <row r="152" spans="1:5" x14ac:dyDescent="0.25">
      <c r="A152" s="34"/>
      <c r="E152" s="5"/>
    </row>
    <row r="153" spans="1:5" x14ac:dyDescent="0.25">
      <c r="A153" s="34"/>
      <c r="E153" s="5"/>
    </row>
    <row r="154" spans="1:5" x14ac:dyDescent="0.25">
      <c r="A154" s="34"/>
      <c r="E154" s="5"/>
    </row>
    <row r="155" spans="1:5" x14ac:dyDescent="0.25">
      <c r="A155" s="34"/>
      <c r="E155" s="5"/>
    </row>
    <row r="156" spans="1:5" x14ac:dyDescent="0.25">
      <c r="A156" s="34"/>
      <c r="E156" s="5"/>
    </row>
    <row r="157" spans="1:5" x14ac:dyDescent="0.25">
      <c r="A157" s="34"/>
      <c r="E157" s="5"/>
    </row>
    <row r="158" spans="1:5" x14ac:dyDescent="0.25">
      <c r="A158" s="34"/>
      <c r="E158" s="5"/>
    </row>
    <row r="159" spans="1:5" x14ac:dyDescent="0.25">
      <c r="A159" s="34"/>
      <c r="E159" s="5"/>
    </row>
    <row r="160" spans="1:5" x14ac:dyDescent="0.25">
      <c r="A160" s="34"/>
      <c r="E160" s="5"/>
    </row>
    <row r="161" spans="1:5" x14ac:dyDescent="0.25">
      <c r="A161" s="34"/>
      <c r="E161" s="5"/>
    </row>
    <row r="162" spans="1:5" x14ac:dyDescent="0.25">
      <c r="A162" s="34"/>
    </row>
    <row r="163" spans="1:5" x14ac:dyDescent="0.25">
      <c r="A163" s="34"/>
    </row>
    <row r="164" spans="1:5" x14ac:dyDescent="0.25">
      <c r="A164" s="34"/>
    </row>
  </sheetData>
  <mergeCells count="1">
    <mergeCell ref="B2:E3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9"/>
  <sheetViews>
    <sheetView workbookViewId="0">
      <selection activeCell="E24" sqref="E24"/>
    </sheetView>
  </sheetViews>
  <sheetFormatPr baseColWidth="10" defaultRowHeight="15" x14ac:dyDescent="0.25"/>
  <cols>
    <col min="1" max="1" width="20" style="11" customWidth="1"/>
    <col min="2" max="2" width="18.5703125" style="11" customWidth="1"/>
    <col min="3" max="3" width="20.7109375" style="11" customWidth="1"/>
    <col min="4" max="4" width="18.5703125" style="11" customWidth="1"/>
    <col min="5" max="5" width="11.42578125" style="11"/>
    <col min="6" max="6" width="16.140625" style="11" customWidth="1"/>
    <col min="7" max="7" width="17.140625" style="11" customWidth="1"/>
    <col min="8" max="8" width="21.28515625" style="11" customWidth="1"/>
  </cols>
  <sheetData>
    <row r="1" spans="1:8" x14ac:dyDescent="0.25">
      <c r="A1" s="61" t="s">
        <v>24</v>
      </c>
      <c r="B1" s="61" t="s">
        <v>25</v>
      </c>
      <c r="C1" s="61" t="s">
        <v>26</v>
      </c>
      <c r="D1" s="61" t="s">
        <v>27</v>
      </c>
      <c r="E1" s="61" t="s">
        <v>28</v>
      </c>
      <c r="F1" s="61" t="s">
        <v>32</v>
      </c>
      <c r="G1" s="61" t="s">
        <v>29</v>
      </c>
      <c r="H1" s="62"/>
    </row>
    <row r="2" spans="1:8" x14ac:dyDescent="0.25">
      <c r="A2" s="11">
        <v>765476454</v>
      </c>
      <c r="B2" s="11" t="s">
        <v>65</v>
      </c>
      <c r="C2" s="11" t="s">
        <v>66</v>
      </c>
      <c r="D2" s="11" t="s">
        <v>67</v>
      </c>
      <c r="E2" s="11" t="s">
        <v>68</v>
      </c>
      <c r="F2" s="11" t="s">
        <v>69</v>
      </c>
      <c r="G2" s="11" t="s">
        <v>67</v>
      </c>
    </row>
    <row r="3" spans="1:8" x14ac:dyDescent="0.25">
      <c r="A3" s="11" t="s">
        <v>70</v>
      </c>
      <c r="B3" s="11" t="s">
        <v>71</v>
      </c>
      <c r="C3" s="11" t="s">
        <v>72</v>
      </c>
      <c r="D3" s="11" t="s">
        <v>71</v>
      </c>
      <c r="E3" s="11" t="s">
        <v>71</v>
      </c>
      <c r="F3" s="11" t="s">
        <v>71</v>
      </c>
      <c r="G3" s="11" t="s">
        <v>73</v>
      </c>
    </row>
    <row r="4" spans="1:8" x14ac:dyDescent="0.25">
      <c r="A4" s="11" t="s">
        <v>79</v>
      </c>
      <c r="B4" s="11" t="s">
        <v>80</v>
      </c>
      <c r="C4" s="11" t="s">
        <v>80</v>
      </c>
      <c r="D4" s="11" t="s">
        <v>81</v>
      </c>
      <c r="E4" s="11" t="s">
        <v>82</v>
      </c>
      <c r="F4" s="11" t="s">
        <v>83</v>
      </c>
      <c r="G4" s="11" t="s">
        <v>83</v>
      </c>
    </row>
    <row r="5" spans="1:8" x14ac:dyDescent="0.25">
      <c r="A5" s="11" t="s">
        <v>84</v>
      </c>
      <c r="B5" s="11" t="s">
        <v>85</v>
      </c>
      <c r="C5" s="11" t="s">
        <v>86</v>
      </c>
      <c r="D5" s="11" t="s">
        <v>87</v>
      </c>
      <c r="E5" s="11" t="s">
        <v>88</v>
      </c>
      <c r="F5" s="11" t="s">
        <v>88</v>
      </c>
      <c r="G5" s="11" t="s">
        <v>89</v>
      </c>
    </row>
    <row r="6" spans="1:8" x14ac:dyDescent="0.25">
      <c r="A6" s="11" t="s">
        <v>90</v>
      </c>
      <c r="B6" s="11" t="s">
        <v>91</v>
      </c>
      <c r="C6" s="11" t="s">
        <v>92</v>
      </c>
      <c r="D6" s="11" t="s">
        <v>93</v>
      </c>
      <c r="E6" s="11" t="s">
        <v>91</v>
      </c>
      <c r="F6" s="11" t="s">
        <v>91</v>
      </c>
    </row>
    <row r="7" spans="1:8" x14ac:dyDescent="0.25">
      <c r="A7" s="11" t="s">
        <v>94</v>
      </c>
      <c r="B7" s="11" t="s">
        <v>95</v>
      </c>
      <c r="C7" s="11" t="s">
        <v>91</v>
      </c>
      <c r="D7" s="11" t="s">
        <v>91</v>
      </c>
      <c r="E7" s="11" t="s">
        <v>94</v>
      </c>
      <c r="F7" s="11" t="s">
        <v>91</v>
      </c>
    </row>
    <row r="8" spans="1:8" x14ac:dyDescent="0.25">
      <c r="A8" s="11" t="s">
        <v>96</v>
      </c>
      <c r="B8" s="11" t="s">
        <v>96</v>
      </c>
      <c r="C8" s="11" t="s">
        <v>97</v>
      </c>
      <c r="D8" s="11" t="s">
        <v>97</v>
      </c>
      <c r="E8" s="11" t="s">
        <v>98</v>
      </c>
      <c r="F8" s="11" t="s">
        <v>96</v>
      </c>
    </row>
    <row r="9" spans="1:8" x14ac:dyDescent="0.25">
      <c r="A9" s="11" t="s">
        <v>99</v>
      </c>
      <c r="B9" s="11" t="s">
        <v>100</v>
      </c>
      <c r="C9" s="11">
        <v>233</v>
      </c>
      <c r="D9" s="11">
        <v>435</v>
      </c>
      <c r="E9" s="11" t="s">
        <v>101</v>
      </c>
      <c r="F9" s="11" t="s">
        <v>33</v>
      </c>
      <c r="G9" s="11" t="s">
        <v>102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8D96BD-FA6E-45E5-A5B0-EB50B4E727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REVENTOS</vt:lpstr>
      <vt:lpstr>BASE</vt:lpstr>
      <vt:lpstr>FACTURADO</vt:lpstr>
      <vt:lpstr>VENTAS</vt:lpstr>
      <vt:lpstr>INICIO</vt:lpstr>
      <vt:lpstr>Hoja2</vt:lpstr>
      <vt:lpstr>EMPLEADOS</vt:lpstr>
      <vt:lpstr>IMPRIMIRF</vt:lpstr>
      <vt:lpstr>RCLIENTES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Arley Gaviria</dc:creator>
  <cp:lastModifiedBy>Arley Gaviria</cp:lastModifiedBy>
  <cp:lastPrinted>2024-05-06T02:05:51Z</cp:lastPrinted>
  <dcterms:created xsi:type="dcterms:W3CDTF">2024-04-28T18:50:48Z</dcterms:created>
  <dcterms:modified xsi:type="dcterms:W3CDTF">2024-07-29T22:21:47Z</dcterms:modified>
</cp:coreProperties>
</file>